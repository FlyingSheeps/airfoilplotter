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akamura_ryosuke/Documents/Gitprojects/airfoilplotter/"/>
    </mc:Choice>
  </mc:AlternateContent>
  <xr:revisionPtr revIDLastSave="0" documentId="13_ncr:1_{B5C77C4A-96F4-C941-A190-25FCC4F635BF}" xr6:coauthVersionLast="47" xr6:coauthVersionMax="47" xr10:uidLastSave="{00000000-0000-0000-0000-000000000000}"/>
  <bookViews>
    <workbookView xWindow="0" yWindow="500" windowWidth="25600" windowHeight="26600" activeTab="1" xr2:uid="{00000000-000D-0000-FFFF-FFFF00000000}"/>
  </bookViews>
  <sheets>
    <sheet name="使用上の注意事項" sheetId="13" r:id="rId1"/>
    <sheet name="Python読み込み用データ" sheetId="18" r:id="rId2"/>
  </sheets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</externalReferences>
  <definedNames>
    <definedName name="A">[1]Base!$C$45</definedName>
    <definedName name="aa">#REF!</definedName>
    <definedName name="AF">[1]Base!$AC$32</definedName>
    <definedName name="b">[2]Base!$C$42</definedName>
    <definedName name="b_MW">[2]Base!$C$42</definedName>
    <definedName name="bHS">[1]HS!$K$3</definedName>
    <definedName name="bMW" comment="翼幅（すべて）">[1]Base!$C$44</definedName>
    <definedName name="bVT">[1]VT!$K$3</definedName>
    <definedName name="ch_ave">[3]Base!$G$20</definedName>
    <definedName name="E_0">'[4]PMD '!$F$48</definedName>
    <definedName name="E_45">'[4]PMD '!$H$48</definedName>
    <definedName name="E_90">'[4]PMD '!$J$48</definedName>
    <definedName name="E_s_0">[1]PPdata!$C$57</definedName>
    <definedName name="E_s_45">[1]PPdata!$D$57</definedName>
    <definedName name="E_s_90">[1]PPdata!$E$57</definedName>
    <definedName name="Es_0">'[4]PMD '!$F$50</definedName>
    <definedName name="Es_45">'[4]PMD '!$H$50</definedName>
    <definedName name="Es_90">'[4]PMD '!$J$50</definedName>
    <definedName name="Ex_0">[1]PPdata!$C$55</definedName>
    <definedName name="Ex_45">[1]PPdata!$D$55</definedName>
    <definedName name="Ex_90">[1]PPdata!$E$55</definedName>
    <definedName name="g">#REF!</definedName>
    <definedName name="grav">#REF!</definedName>
    <definedName name="grav_MT">[4]MTLC!$E$11</definedName>
    <definedName name="L">#REF!</definedName>
    <definedName name="L_0">[1]Base!$G$33</definedName>
    <definedName name="L_1">[1]Base!$G$34</definedName>
    <definedName name="L_2">[1]Base!$G$35</definedName>
    <definedName name="L_3">[1]Base!$G$36</definedName>
    <definedName name="L_opt">#REF!</definedName>
    <definedName name="LS_0">0</definedName>
    <definedName name="LS_1">[1]Base!$H$33</definedName>
    <definedName name="LS_2">[1]Base!$H$34</definedName>
    <definedName name="LS_3">[1]Base!$H$35</definedName>
    <definedName name="LS_4">[1]Base!$H$36</definedName>
    <definedName name="m">#REF!</definedName>
    <definedName name="m_a">#REF!</definedName>
    <definedName name="m_p">#REF!</definedName>
    <definedName name="MAC">[2]Base!$C$33</definedName>
    <definedName name="MODE">[1]Base!$B$5</definedName>
    <definedName name="nu_x_0">[1]PPdata!$C$58</definedName>
    <definedName name="nu_x_45">[1]PPdata!$D$58</definedName>
    <definedName name="nu_x_90">[1]PPdata!$E$58</definedName>
    <definedName name="nu_y_0">[1]PPdata!$C$59</definedName>
    <definedName name="nu_y_45">[1]PPdata!$D$59</definedName>
    <definedName name="nu_y_90">[1]PPdata!$E$59</definedName>
    <definedName name="PRl_0">'[4]PMD '!$F$51</definedName>
    <definedName name="PRl_45">'[4]PMD '!$H$51</definedName>
    <definedName name="PRl_90">'[4]PMD '!$J$51</definedName>
    <definedName name="PRw_0">'[4]PMD '!$F$52</definedName>
    <definedName name="PRw_45">'[4]PMD '!$H$52</definedName>
    <definedName name="PRw_90">'[4]PMD '!$J$52</definedName>
    <definedName name="Q_ss_0">'[4]PMD '!$F$40</definedName>
    <definedName name="Q_ss_45">'[4]PMD '!$H$40</definedName>
    <definedName name="Q_xx_0">'[4]PMD '!$F$37</definedName>
    <definedName name="Q_xx_45">'[4]PMD '!$H$37</definedName>
    <definedName name="Q_xy_0">'[4]PMD '!$F$39</definedName>
    <definedName name="Q_xy_45">'[4]PMD '!$H$39</definedName>
    <definedName name="Q_yy_0">'[4]PMD '!$F$38</definedName>
    <definedName name="Q_yy_45">'[4]PMD '!$H$38</definedName>
    <definedName name="rho">#REF!</definedName>
    <definedName name="S">'[4]PMD '!$G$62</definedName>
    <definedName name="S_MW">[5]Base!$C$41</definedName>
    <definedName name="SHS">#REF!</definedName>
    <definedName name="SS">[1]PPdata!$L$15</definedName>
    <definedName name="SVT">[1]VT!$K$2</definedName>
    <definedName name="tpp">'[4]PMD '!$F$23</definedName>
    <definedName name="tr">[1]Base!$Z$2</definedName>
    <definedName name="tt">[1]PPdata!$C$27</definedName>
    <definedName name="up">[1]Base!$L$61</definedName>
    <definedName name="v">#REF!</definedName>
    <definedName name="W">#REF!</definedName>
    <definedName name="wpp">'[4]PMD '!$G$56</definedName>
    <definedName name="X_c">'[4]PMD '!$G$59</definedName>
    <definedName name="y_0">[6]Base!$G$14</definedName>
    <definedName name="y_1">[6]Base!$G$15</definedName>
    <definedName name="y_2">[6]Base!$G$16</definedName>
    <definedName name="y_3">[7]Base!$I$17</definedName>
    <definedName name="Y_c">'[4]PMD '!$G$61</definedName>
    <definedName name="y_end">[8]Base!$L$17</definedName>
    <definedName name="Y_t">'[4]PMD '!$G$60</definedName>
    <definedName name="yv">#REF!</definedName>
    <definedName name="あああ">[2]Base!$C$4</definedName>
    <definedName name="かけるかず">#REF!</definedName>
    <definedName name="μ" comment="動粘性係数">[1]Base!$Q$11</definedName>
    <definedName name="ν">[2]Base!$L$10</definedName>
    <definedName name="ρ">[2]Base!$L$7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6" i="18" l="1"/>
  <c r="Q7" i="18" s="1"/>
  <c r="Q8" i="18" s="1"/>
  <c r="Q9" i="18" s="1"/>
  <c r="Q10" i="18" s="1"/>
  <c r="Q11" i="18" s="1"/>
  <c r="Q12" i="18" s="1"/>
  <c r="O4" i="18"/>
  <c r="N4" i="18"/>
  <c r="G4" i="18"/>
  <c r="Q2" i="18" l="1"/>
</calcChain>
</file>

<file path=xl/sharedStrings.xml><?xml version="1.0" encoding="utf-8"?>
<sst xmlns="http://schemas.openxmlformats.org/spreadsheetml/2006/main" count="28" uniqueCount="27">
  <si>
    <t>X</t>
    <phoneticPr fontId="9"/>
  </si>
  <si>
    <t>Y</t>
    <phoneticPr fontId="9"/>
  </si>
  <si>
    <t>行数</t>
    <rPh sb="0" eb="2">
      <t>ギョウスウ</t>
    </rPh>
    <phoneticPr fontId="9"/>
  </si>
  <si>
    <t>主翼リブ配置[mm]</t>
    <rPh sb="0" eb="2">
      <t>シュヨク</t>
    </rPh>
    <rPh sb="4" eb="6">
      <t>ハイチ</t>
    </rPh>
    <phoneticPr fontId="9"/>
  </si>
  <si>
    <t>主翼リブ数</t>
    <rPh sb="0" eb="2">
      <t>シュヨク</t>
    </rPh>
    <rPh sb="4" eb="5">
      <t>カズ</t>
    </rPh>
    <phoneticPr fontId="9"/>
  </si>
  <si>
    <t>使用上の注意事項</t>
    <rPh sb="0" eb="3">
      <t>シヨウジョウ</t>
    </rPh>
    <rPh sb="4" eb="8">
      <t>チュウイジコウ</t>
    </rPh>
    <phoneticPr fontId="9"/>
  </si>
  <si>
    <t>一般</t>
    <rPh sb="0" eb="2">
      <t>イッパン</t>
    </rPh>
    <phoneticPr fontId="9"/>
  </si>
  <si>
    <t>※リブ点群データとリブ配置はデータの大きさに合わせて行を増やしても良い</t>
    <rPh sb="3" eb="5">
      <t>テングン</t>
    </rPh>
    <rPh sb="11" eb="13">
      <t>ハイチ</t>
    </rPh>
    <rPh sb="18" eb="19">
      <t>オオ</t>
    </rPh>
    <rPh sb="22" eb="23">
      <t>ア</t>
    </rPh>
    <rPh sb="26" eb="27">
      <t>ギョウ</t>
    </rPh>
    <rPh sb="28" eb="29">
      <t>フ</t>
    </rPh>
    <rPh sb="33" eb="34">
      <t>ヨ</t>
    </rPh>
    <phoneticPr fontId="9"/>
  </si>
  <si>
    <t>・「NAVIXリブ製図プログラム」使用時は</t>
    <rPh sb="9" eb="11">
      <t>セイズ</t>
    </rPh>
    <rPh sb="17" eb="19">
      <t>シヨウ</t>
    </rPh>
    <rPh sb="19" eb="20">
      <t>ジ</t>
    </rPh>
    <phoneticPr fontId="9"/>
  </si>
  <si>
    <r>
      <t>適切な形式のexcelブックをこれに</t>
    </r>
    <r>
      <rPr>
        <sz val="28"/>
        <color rgb="FFFF0000"/>
        <rFont val="Yu Gothic"/>
        <family val="3"/>
        <charset val="128"/>
        <scheme val="minor"/>
      </rPr>
      <t>ドラッグアンドドロップ</t>
    </r>
    <r>
      <rPr>
        <sz val="28"/>
        <color theme="1"/>
        <rFont val="Yu Gothic"/>
        <family val="3"/>
        <charset val="128"/>
        <scheme val="minor"/>
      </rPr>
      <t>するか、.pyを編集して</t>
    </r>
    <r>
      <rPr>
        <sz val="28"/>
        <color rgb="FFFF0000"/>
        <rFont val="Yu Gothic"/>
        <family val="3"/>
        <charset val="128"/>
        <scheme val="minor"/>
      </rPr>
      <t>パスを直接入力</t>
    </r>
    <r>
      <rPr>
        <sz val="28"/>
        <color theme="1"/>
        <rFont val="Yu Gothic"/>
        <family val="3"/>
        <charset val="128"/>
        <scheme val="minor"/>
      </rPr>
      <t>する</t>
    </r>
    <phoneticPr fontId="9"/>
  </si>
  <si>
    <r>
      <t>・</t>
    </r>
    <r>
      <rPr>
        <sz val="28"/>
        <color rgb="FFFF0000"/>
        <rFont val="Yu Gothic"/>
        <family val="3"/>
        <charset val="128"/>
        <scheme val="minor"/>
      </rPr>
      <t>シート名を変更してはならない</t>
    </r>
    <r>
      <rPr>
        <sz val="28"/>
        <color theme="1"/>
        <rFont val="Yu Gothic"/>
        <family val="3"/>
        <charset val="128"/>
        <scheme val="minor"/>
      </rPr>
      <t>！</t>
    </r>
    <rPh sb="4" eb="5">
      <t>メイ</t>
    </rPh>
    <rPh sb="6" eb="8">
      <t>ヘンコウ</t>
    </rPh>
    <phoneticPr fontId="9"/>
  </si>
  <si>
    <t>迎角[deg]</t>
    <rPh sb="0" eb="2">
      <t>ゲイカク</t>
    </rPh>
    <phoneticPr fontId="9"/>
  </si>
  <si>
    <t>主翼スパン[m]</t>
    <rPh sb="0" eb="2">
      <t>シュヨク</t>
    </rPh>
    <phoneticPr fontId="9"/>
  </si>
  <si>
    <t>ルートコード長[m]</t>
    <rPh sb="6" eb="7">
      <t>チョウ</t>
    </rPh>
    <phoneticPr fontId="9"/>
  </si>
  <si>
    <t>中間コード長[m]</t>
    <rPh sb="0" eb="2">
      <t>チュウカン</t>
    </rPh>
    <rPh sb="5" eb="6">
      <t>チョウ</t>
    </rPh>
    <phoneticPr fontId="9"/>
  </si>
  <si>
    <t>チップコード長[m]</t>
    <rPh sb="6" eb="7">
      <t>チョウ</t>
    </rPh>
    <phoneticPr fontId="9"/>
  </si>
  <si>
    <t>テーパ変更点[m]</t>
    <rPh sb="3" eb="6">
      <t>ヘンコウテン</t>
    </rPh>
    <phoneticPr fontId="9"/>
  </si>
  <si>
    <t>Pythonで読み込まれるデータをここに置く</t>
    <rPh sb="7" eb="8">
      <t>ヨ</t>
    </rPh>
    <rPh sb="9" eb="10">
      <t>コ</t>
    </rPh>
    <rPh sb="20" eb="21">
      <t>オ</t>
    </rPh>
    <phoneticPr fontId="9"/>
  </si>
  <si>
    <t>Xu</t>
    <phoneticPr fontId="9"/>
  </si>
  <si>
    <t>Yu</t>
    <phoneticPr fontId="9"/>
  </si>
  <si>
    <t>Xl</t>
    <phoneticPr fontId="9"/>
  </si>
  <si>
    <t>Yl</t>
    <phoneticPr fontId="9"/>
  </si>
  <si>
    <t>桁径[mm]</t>
    <rPh sb="0" eb="1">
      <t>ケタ</t>
    </rPh>
    <rPh sb="1" eb="2">
      <t>ケイ</t>
    </rPh>
    <phoneticPr fontId="9"/>
  </si>
  <si>
    <t>clarky</t>
    <phoneticPr fontId="9"/>
  </si>
  <si>
    <r>
      <t>・</t>
    </r>
    <r>
      <rPr>
        <sz val="28"/>
        <color rgb="FFFF0000"/>
        <rFont val="Yu Gothic"/>
        <family val="3"/>
        <charset val="1"/>
      </rPr>
      <t>黄色のセル</t>
    </r>
    <r>
      <rPr>
        <sz val="28"/>
        <color theme="1"/>
        <rFont val="Yu Gothic"/>
        <family val="3"/>
        <charset val="128"/>
        <scheme val="minor"/>
      </rPr>
      <t>は「NAVIXリブ製図プログラム」で使うので</t>
    </r>
    <r>
      <rPr>
        <sz val="28"/>
        <color rgb="FFFF0000"/>
        <rFont val="Yu Gothic"/>
        <family val="3"/>
        <charset val="128"/>
        <scheme val="minor"/>
      </rPr>
      <t>位置を変更してはならない</t>
    </r>
    <r>
      <rPr>
        <sz val="28"/>
        <color theme="1"/>
        <rFont val="Yu Gothic"/>
        <family val="3"/>
        <charset val="128"/>
        <scheme val="minor"/>
      </rPr>
      <t>！</t>
    </r>
    <rPh sb="1" eb="3">
      <t>キイロ</t>
    </rPh>
    <rPh sb="15" eb="17">
      <t>セイズ</t>
    </rPh>
    <rPh sb="24" eb="25">
      <t>ツカ</t>
    </rPh>
    <rPh sb="28" eb="30">
      <t>イチ</t>
    </rPh>
    <rPh sb="31" eb="33">
      <t>ヘンコウ</t>
    </rPh>
    <phoneticPr fontId="9"/>
  </si>
  <si>
    <t>桁位置[-]</t>
    <rPh sb="0" eb="3">
      <t xml:space="preserve">ケタイチ </t>
    </rPh>
    <phoneticPr fontId="9"/>
  </si>
  <si>
    <t>・単一テーパーの場合は中間コード長は翼根コード長と同じにして，テーパー変更点を0にする．</t>
    <rPh sb="1" eb="3">
      <t xml:space="preserve">タンイツテーパーノ </t>
    </rPh>
    <rPh sb="8" eb="10">
      <t xml:space="preserve">バアイハ </t>
    </rPh>
    <rPh sb="11" eb="13">
      <t xml:space="preserve">チュウカンコードチョウ </t>
    </rPh>
    <rPh sb="18" eb="20">
      <t xml:space="preserve">ヨクコン </t>
    </rPh>
    <rPh sb="25" eb="26">
      <t xml:space="preserve">オナジニシテ </t>
    </rPh>
    <phoneticPr fontId="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</si>
</sst>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26"/>
      <color theme="1"/>
      <name val="Yu Gothic"/>
      <family val="2"/>
      <scheme val="minor"/>
    </font>
    <font>
      <sz val="36"/>
      <color theme="1"/>
      <name val="Yu Gothic"/>
      <family val="2"/>
      <scheme val="minor"/>
    </font>
    <font>
      <sz val="48"/>
      <color rgb="FFFFFF00"/>
      <name val="Yu Gothic"/>
      <family val="2"/>
      <scheme val="minor"/>
    </font>
    <font>
      <sz val="28"/>
      <color theme="1"/>
      <name val="Yu Gothic"/>
      <family val="3"/>
      <charset val="128"/>
      <scheme val="minor"/>
    </font>
    <font>
      <sz val="28"/>
      <color rgb="FFFF0000"/>
      <name val="Yu Gothic"/>
      <family val="3"/>
      <charset val="128"/>
      <scheme val="minor"/>
    </font>
    <font>
      <sz val="28"/>
      <color rgb="FFFF0000"/>
      <name val="Yu Gothic"/>
      <family val="3"/>
      <charset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8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3" fillId="0" borderId="0">
      <alignment vertical="center"/>
    </xf>
  </cellStyleXfs>
  <cellXfs count="14">
    <xf numFmtId="0" fontId="0" fillId="0" borderId="0" xfId="0"/>
    <xf numFmtId="0" fontId="0" fillId="2" borderId="0" xfId="0" applyFill="1"/>
    <xf numFmtId="0" fontId="6" fillId="0" borderId="0" xfId="3">
      <alignment vertical="center"/>
    </xf>
    <xf numFmtId="0" fontId="0" fillId="2" borderId="0" xfId="0" applyFill="1" applyAlignment="1">
      <alignment vertical="center"/>
    </xf>
    <xf numFmtId="0" fontId="6" fillId="2" borderId="0" xfId="3" applyFill="1">
      <alignment vertical="center"/>
    </xf>
    <xf numFmtId="0" fontId="10" fillId="0" borderId="0" xfId="0" applyFont="1"/>
    <xf numFmtId="0" fontId="11" fillId="0" borderId="0" xfId="0" applyFont="1"/>
    <xf numFmtId="0" fontId="13" fillId="0" borderId="0" xfId="0" applyFont="1"/>
    <xf numFmtId="0" fontId="4" fillId="0" borderId="0" xfId="3" applyFont="1">
      <alignment vertical="center"/>
    </xf>
    <xf numFmtId="0" fontId="2" fillId="0" borderId="0" xfId="3" applyFont="1">
      <alignment vertical="center"/>
    </xf>
    <xf numFmtId="0" fontId="1" fillId="2" borderId="0" xfId="3" applyFont="1" applyFill="1">
      <alignment vertical="center"/>
    </xf>
    <xf numFmtId="0" fontId="0" fillId="3" borderId="0" xfId="0" applyFill="1"/>
    <xf numFmtId="0" fontId="4" fillId="2" borderId="0" xfId="3" applyFont="1" applyFill="1">
      <alignment vertical="center"/>
    </xf>
    <xf numFmtId="0" fontId="12" fillId="4" borderId="0" xfId="0" applyFont="1" applyFill="1" applyAlignment="1">
      <alignment horizontal="center" vertical="center"/>
    </xf>
  </cellXfs>
  <cellStyles count="6">
    <cellStyle name="標準" xfId="0" builtinId="0"/>
    <cellStyle name="標準 2" xfId="1" xr:uid="{897C52F7-43D6-47A1-BE7B-41E066F6692F}"/>
    <cellStyle name="標準 3" xfId="2" xr:uid="{095C3C38-CCD9-491D-883B-50C5B8E7E47F}"/>
    <cellStyle name="標準 4" xfId="3" xr:uid="{6CBA0152-A068-4D6F-B740-1A91E3FCB9E7}"/>
    <cellStyle name="標準 5" xfId="4" xr:uid="{5AE508FD-AB0F-4C2C-92D6-725034F62839}"/>
    <cellStyle name="標準 6" xfId="5" xr:uid="{FA77B166-B08A-4425-9124-A86EEF1056B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5" Type="http://schemas.microsoft.com/office/2006/relationships/vbaProject" Target="vbaProject.bin"/><Relationship Id="rId10" Type="http://schemas.openxmlformats.org/officeDocument/2006/relationships/externalLink" Target="externalLinks/externalLink8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/&#36942;&#21435;&#12398;&#27231;&#20307;/Polaris&#35373;&#35336;&#12471;&#12540;&#12488;0617KANSEI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AirCraft/Dropbox/2019/&#35373;&#35336;/&#31354;&#21147;&#35373;&#35336;/&#35373;&#35336;&#65288;Python&#65289;/&#35373;&#35336;&#65288;Python&#65289;/&#35373;&#35336;&#65288;Python&#65289;/&#35373;&#35336;&#65288;Python&#65289;/18&#23614;&#32764;&#35373;&#35336;&#12471;&#12540;&#12488;_040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/&#12379;&#12387;&#12369;&#12356;/&#35373;&#35336;&#36942;&#21435;&#12471;&#12540;&#12488;/2014mer/&#35373;&#35336;&#12471;&#12540;&#12488;1208&#33655;&#37325;&#35430;&#39443;&#29992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400aa6e18044647b/&#12489;&#12461;&#12517;&#12513;&#12531;&#12488;/&#12464;&#12521;&#12452;&#12480;&#12540;/21&#20195;&#27083;&#36896;&#35373;&#35336;20210115-0&#24375;&#24230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AirCraft/Dropbox/2019/&#35373;&#35336;/&#31354;&#21147;&#35373;&#35336;/&#35373;&#35336;&#65288;Python&#65289;/&#35373;&#35336;&#65288;Python&#65289;/&#35373;&#35336;&#65288;Python&#65289;/&#35373;&#35336;&#65288;Python&#65289;/18&#31354;&#21147;&#35373;&#35336;&#12471;&#12540;&#12488;_0226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&#32724;&#21566;/Documents/02.AirCraft/16&#35373;&#35336;/&#32244;&#32722;/&#35430;&#20316;&#27231;_&#35373;&#35336;&#35611;&#32722;&#29992;_R%20-%20&#12467;&#12500;&#12540;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/&#36942;&#21435;&#12398;&#27231;&#20307;/2013_Sirius_v10.4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&#32724;&#21566;/Documents/02.AirCraft/16&#35373;&#35336;/&#35373;&#35336;Meteor&#9734;%20-%20&#12467;&#12500;&#1254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"/>
      <sheetName val="WSmemo"/>
      <sheetName val="Sheet2"/>
      <sheetName val="P"/>
      <sheetName val="Est"/>
      <sheetName val="F"/>
      <sheetName val="Gir"/>
      <sheetName val="Sheet7"/>
      <sheetName val="Sheet8"/>
      <sheetName val="wsdata"/>
      <sheetName val="W"/>
      <sheetName val="LI2"/>
      <sheetName val="Base"/>
      <sheetName val="MW"/>
      <sheetName val="LI"/>
      <sheetName val="DwL2"/>
      <sheetName val="MWc"/>
      <sheetName val="MWL"/>
      <sheetName val="DwL"/>
      <sheetName val="MWR"/>
      <sheetName val="DwR"/>
      <sheetName val="DwR2"/>
      <sheetName val="舵角"/>
      <sheetName val="HL"/>
      <sheetName val="HC"/>
      <sheetName val="Sheet6"/>
      <sheetName val="PF"/>
      <sheetName val="PR"/>
      <sheetName val="HS"/>
      <sheetName val="VT"/>
      <sheetName val="Scadule"/>
      <sheetName val="HSc"/>
      <sheetName val="LIHS"/>
      <sheetName val="VTc"/>
      <sheetName val="LIVT"/>
      <sheetName val="W2"/>
      <sheetName val="Sheet4"/>
      <sheetName val="LC"/>
      <sheetName val="WM"/>
      <sheetName val="Strc"/>
      <sheetName val="LC比較"/>
      <sheetName val="Ac3"/>
      <sheetName val="CS"/>
      <sheetName val="CSc"/>
      <sheetName val="Sheet5"/>
      <sheetName val="wsL"/>
      <sheetName val="wsL2"/>
      <sheetName val="wsR"/>
      <sheetName val="wsR2"/>
      <sheetName val="wsHS"/>
      <sheetName val="wsVT"/>
      <sheetName val="Ac"/>
      <sheetName val="PPdata"/>
      <sheetName val="グラフ"/>
      <sheetName val="メモなど"/>
      <sheetName val="Sheet3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2">
          <cell r="Z2">
            <v>0</v>
          </cell>
        </row>
        <row r="5">
          <cell r="B5">
            <v>2</v>
          </cell>
        </row>
        <row r="11">
          <cell r="Q11">
            <v>1.5586018883674666E-5</v>
          </cell>
        </row>
        <row r="32">
          <cell r="AC32">
            <v>0</v>
          </cell>
        </row>
        <row r="33">
          <cell r="G33">
            <v>2100</v>
          </cell>
          <cell r="H33">
            <v>2100</v>
          </cell>
        </row>
        <row r="34">
          <cell r="G34">
            <v>3900</v>
          </cell>
          <cell r="H34">
            <v>6000</v>
          </cell>
        </row>
        <row r="35">
          <cell r="G35">
            <v>2600</v>
          </cell>
          <cell r="H35">
            <v>8600</v>
          </cell>
        </row>
        <row r="36">
          <cell r="G36">
            <v>1300</v>
          </cell>
          <cell r="H36">
            <v>9900</v>
          </cell>
        </row>
        <row r="44">
          <cell r="C44">
            <v>19800</v>
          </cell>
        </row>
        <row r="45">
          <cell r="C45">
            <v>35.339999965400068</v>
          </cell>
        </row>
        <row r="61">
          <cell r="L61">
            <v>0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2">
          <cell r="K2">
            <v>0.93181679999999989</v>
          </cell>
        </row>
        <row r="3">
          <cell r="K3">
            <v>2202</v>
          </cell>
        </row>
      </sheetData>
      <sheetData sheetId="29">
        <row r="2">
          <cell r="K2">
            <v>0.85395350150781268</v>
          </cell>
        </row>
        <row r="3">
          <cell r="K3">
            <v>1871</v>
          </cell>
        </row>
      </sheetData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>
        <row r="7">
          <cell r="L7">
            <v>166.7</v>
          </cell>
        </row>
        <row r="15">
          <cell r="L15">
            <v>120</v>
          </cell>
        </row>
        <row r="27">
          <cell r="C27">
            <v>0.125</v>
          </cell>
        </row>
        <row r="55">
          <cell r="C55">
            <v>212.5</v>
          </cell>
          <cell r="D55">
            <v>15.285316659001397</v>
          </cell>
          <cell r="E55">
            <v>7.6</v>
          </cell>
        </row>
        <row r="57">
          <cell r="C57">
            <v>4.0999999999999996</v>
          </cell>
          <cell r="D57">
            <v>52.076395981602012</v>
          </cell>
          <cell r="E57">
            <v>4.0999999999999996</v>
          </cell>
        </row>
        <row r="58">
          <cell r="C58">
            <v>0.27500000000000002</v>
          </cell>
          <cell r="D58">
            <v>0.8640630071952905</v>
          </cell>
          <cell r="E58">
            <v>9.8352941176470601E-3</v>
          </cell>
        </row>
        <row r="59">
          <cell r="C59">
            <v>9.8352941176470584E-3</v>
          </cell>
          <cell r="D59">
            <v>0.86406300719528983</v>
          </cell>
          <cell r="E59">
            <v>0.27500000000000008</v>
          </cell>
        </row>
      </sheetData>
      <sheetData sheetId="53"/>
      <sheetData sheetId="54"/>
      <sheetData sheetId="55"/>
      <sheetData sheetId="5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e"/>
      <sheetName val="MWL"/>
      <sheetName val="MWR"/>
      <sheetName val="MW"/>
      <sheetName val="MWc"/>
      <sheetName val="wsdata"/>
      <sheetName val="HS"/>
      <sheetName val="VT"/>
      <sheetName val="Sheet1"/>
      <sheetName val="HSc"/>
      <sheetName val="VTc "/>
      <sheetName val="LIHS"/>
      <sheetName val="LIVT"/>
      <sheetName val="wsMW"/>
      <sheetName val="wsHS"/>
      <sheetName val="wsVT"/>
    </sheetNames>
    <sheetDataSet>
      <sheetData sheetId="0" refreshError="1">
        <row r="4">
          <cell r="C4">
            <v>8.8000000000000007</v>
          </cell>
        </row>
        <row r="7">
          <cell r="L7">
            <v>1.1843370740000001</v>
          </cell>
        </row>
        <row r="10">
          <cell r="L10">
            <v>1.5586018883674666E-5</v>
          </cell>
        </row>
        <row r="33">
          <cell r="C33">
            <v>719.32921229645683</v>
          </cell>
        </row>
        <row r="42">
          <cell r="C42">
            <v>28800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e"/>
      <sheetName val="リブ間"/>
      <sheetName val="omosa"/>
      <sheetName val="Wing"/>
      <sheetName val="解析 70"/>
      <sheetName val="150"/>
      <sheetName val="150 c498"/>
      <sheetName val="Downwash"/>
      <sheetName val="Wing (上反)"/>
      <sheetName val="Dw 上反"/>
      <sheetName val="旋回"/>
      <sheetName val="エルロン"/>
      <sheetName val="近似式"/>
      <sheetName val="Dw (el)"/>
      <sheetName val="Dw(er)"/>
      <sheetName val="Dw (el') "/>
      <sheetName val="Dw (er')"/>
      <sheetName val="エルロン性能評価"/>
      <sheetName val="水平"/>
      <sheetName val="垂直"/>
      <sheetName val="Downwash(h)"/>
      <sheetName val="Downwash(ｖ) "/>
      <sheetName val="線形補間"/>
      <sheetName val="微係数"/>
      <sheetName val="構造Base"/>
      <sheetName val="メイン・てーる"/>
      <sheetName val="V3積層構成(new)"/>
      <sheetName val="ソルバー用"/>
      <sheetName val="Sheet2"/>
      <sheetName val="の理系三洋"/>
      <sheetName val="VI構造"/>
      <sheetName val="荷重試験"/>
      <sheetName val="荷重c0(０＋１をみよ）"/>
      <sheetName val="荷重1番(1+2を見よ)"/>
      <sheetName val="荷重2番"/>
      <sheetName val="荷重3番"/>
      <sheetName val="荷重c０+１番"/>
      <sheetName val="荷重1番⊹２番"/>
      <sheetName val="荷重2+3"/>
      <sheetName val="荷重全組"/>
      <sheetName val="SFD.BMD"/>
      <sheetName val="重し一覧"/>
      <sheetName val="荷重一覧"/>
      <sheetName val="VII重力考慮(未使用)"/>
      <sheetName val="重量翼ごと計算用"/>
      <sheetName val="プレぐりぶデータ"/>
      <sheetName val="たわみグラフ製作用シート"/>
      <sheetName val="たわみグラフ"/>
      <sheetName val="各種強度計算 (2)"/>
      <sheetName val="最終郷土判定"/>
      <sheetName val="重心重量見積もりとか "/>
      <sheetName val="上下曲げ剛性比較"/>
      <sheetName val="ねじり合成皮革"/>
      <sheetName val="ヨー合成皮革"/>
    </sheetNames>
    <sheetDataSet>
      <sheetData sheetId="0">
        <row r="20">
          <cell r="G20">
            <v>636.62682248213616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e"/>
      <sheetName val="MW_nutral"/>
      <sheetName val="MW_ailron"/>
      <sheetName val="MW"/>
      <sheetName val="運動包囲線"/>
      <sheetName val="MWc"/>
      <sheetName val="MaxT"/>
      <sheetName val="TI"/>
      <sheetName val="PMD "/>
      <sheetName val="一般構造素材物性"/>
      <sheetName val="設計製作の課題"/>
      <sheetName val="CsC"/>
      <sheetName val="CsI(19)"/>
      <sheetName val="断面データベース2020"/>
      <sheetName val="理想積層・重量概算"/>
      <sheetName val="StrC"/>
      <sheetName val="AC"/>
      <sheetName val="LC"/>
      <sheetName val="翼班データ"/>
      <sheetName val="FStrC"/>
      <sheetName val="MTStrC"/>
      <sheetName val="MTACⅠ"/>
      <sheetName val="MTACⅡ"/>
      <sheetName val="MTLC"/>
      <sheetName val="二次部材座屈設計"/>
      <sheetName val="dae11"/>
      <sheetName val="2_7_0_003hT2NACA_30"/>
      <sheetName val="foil_end"/>
      <sheetName val="foil_end2_ver2"/>
      <sheetName val="tp_2x244_25"/>
      <sheetName val="tp_2x244_40"/>
      <sheetName val="tp_2x244_112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3">
          <cell r="F23">
            <v>0.105</v>
          </cell>
        </row>
        <row r="37">
          <cell r="F37">
            <v>213.07630874565444</v>
          </cell>
          <cell r="H37">
            <v>60.322064147618114</v>
          </cell>
        </row>
        <row r="38">
          <cell r="F38">
            <v>7.6206115127857581</v>
          </cell>
          <cell r="H38">
            <v>60.322064147618072</v>
          </cell>
        </row>
        <row r="39">
          <cell r="F39">
            <v>2.0956681660160839</v>
          </cell>
          <cell r="H39">
            <v>52.12206414761809</v>
          </cell>
        </row>
        <row r="40">
          <cell r="F40">
            <v>4.0999999999999996</v>
          </cell>
          <cell r="H40">
            <v>52.076395981602012</v>
          </cell>
        </row>
        <row r="48">
          <cell r="F48">
            <v>251.52857142857101</v>
          </cell>
          <cell r="H48">
            <v>15.285316659001397</v>
          </cell>
          <cell r="J48">
            <v>7.6</v>
          </cell>
        </row>
        <row r="50">
          <cell r="F50">
            <v>4.0999999999999996</v>
          </cell>
          <cell r="H50">
            <v>52.076395981602012</v>
          </cell>
          <cell r="J50">
            <v>4.0999999999999996</v>
          </cell>
        </row>
        <row r="51">
          <cell r="F51">
            <v>0.27500000000000002</v>
          </cell>
          <cell r="H51">
            <v>0.8640630071952905</v>
          </cell>
          <cell r="J51">
            <v>9.8352941176470601E-3</v>
          </cell>
        </row>
        <row r="52">
          <cell r="F52">
            <v>9.8352941176470584E-3</v>
          </cell>
          <cell r="H52">
            <v>0.86406300719528983</v>
          </cell>
          <cell r="J52">
            <v>0.27500000000000008</v>
          </cell>
        </row>
        <row r="56">
          <cell r="G56">
            <v>0.155</v>
          </cell>
        </row>
        <row r="59">
          <cell r="G59">
            <v>1340</v>
          </cell>
        </row>
        <row r="60">
          <cell r="G60">
            <v>71.428571428571431</v>
          </cell>
        </row>
        <row r="61">
          <cell r="G61">
            <v>202.38095238095201</v>
          </cell>
        </row>
        <row r="62">
          <cell r="G62">
            <v>142.85714285714286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11">
          <cell r="E11">
            <v>10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cept"/>
      <sheetName val="Base"/>
      <sheetName val="MWL"/>
      <sheetName val="MWR"/>
      <sheetName val="MW"/>
      <sheetName val="MWc"/>
      <sheetName val="SSS"/>
      <sheetName val="DwL"/>
      <sheetName val="DwR"/>
      <sheetName val="LIMW"/>
      <sheetName val="Rp"/>
      <sheetName val="wsMW"/>
      <sheetName val="wsHS"/>
      <sheetName val="wsVT"/>
      <sheetName val="wsdata"/>
    </sheetNames>
    <sheetDataSet>
      <sheetData sheetId="0"/>
      <sheetData sheetId="1" refreshError="1">
        <row r="41">
          <cell r="C41">
            <v>20.02913533080994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e"/>
      <sheetName val="MainWing"/>
      <sheetName val="吹きおろし"/>
      <sheetName val="線形補間"/>
      <sheetName val="Sheet1"/>
      <sheetName val="Sheet2"/>
      <sheetName val="Sheet3"/>
      <sheetName val="プリプレグデータ"/>
    </sheetNames>
    <sheetDataSet>
      <sheetData sheetId="0">
        <row r="14">
          <cell r="G14">
            <v>1800</v>
          </cell>
        </row>
        <row r="15">
          <cell r="G15">
            <v>5300</v>
          </cell>
        </row>
        <row r="16">
          <cell r="G16">
            <v>8600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重量記入"/>
      <sheetName val="重量見積もり"/>
      <sheetName val="Sheet1"/>
      <sheetName val="諸元"/>
      <sheetName val="Base"/>
      <sheetName val="密度・粘度"/>
      <sheetName val="MainWing"/>
      <sheetName val="りぶ間"/>
      <sheetName val="水平"/>
      <sheetName val="垂直"/>
      <sheetName val="エルロン性能評価"/>
      <sheetName val="エルロン"/>
      <sheetName val="美係数とか"/>
      <sheetName val="地面効果etc..."/>
      <sheetName val="Downwash"/>
      <sheetName val="Downwash (エルロン)"/>
      <sheetName val="線形補間"/>
      <sheetName val="翼形データ"/>
      <sheetName val="線形補間 (エルロン)"/>
      <sheetName val="XFLR解析値"/>
      <sheetName val="プリプレグデータ"/>
      <sheetName val="メイン・テール"/>
      <sheetName val="積層構成"/>
      <sheetName val="桁重量込"/>
      <sheetName val="ねじれグラフ"/>
      <sheetName val="エルロンデータ"/>
      <sheetName val="構造"/>
      <sheetName val="各種強度計算"/>
      <sheetName val="たわみ"/>
      <sheetName val="最終強度判定"/>
      <sheetName val="翼重量込"/>
      <sheetName val="自重たわみ"/>
      <sheetName val="ねじり剛性比"/>
      <sheetName val="ヨー剛性比"/>
      <sheetName val="上下剛性比"/>
      <sheetName val="c0"/>
      <sheetName val="1番"/>
      <sheetName val="2番"/>
      <sheetName val="3番"/>
    </sheetNames>
    <sheetDataSet>
      <sheetData sheetId="0"/>
      <sheetData sheetId="1"/>
      <sheetData sheetId="2"/>
      <sheetData sheetId="3"/>
      <sheetData sheetId="4">
        <row r="17">
          <cell r="I17">
            <v>9500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重量"/>
      <sheetName val="諸元"/>
      <sheetName val="ペラデータ"/>
      <sheetName val="Base"/>
      <sheetName val="主翼"/>
      <sheetName val="エルロン"/>
      <sheetName val="リブ"/>
      <sheetName val="垂直"/>
      <sheetName val="水平"/>
      <sheetName val="上反"/>
      <sheetName val="エル評価"/>
      <sheetName val="翼型近似式"/>
      <sheetName val="構造Base"/>
      <sheetName val="積層構成"/>
      <sheetName val="構造計算 (重力込み)"/>
      <sheetName val="構造計算 (リブ重量込み)"/>
      <sheetName val="線形補間"/>
      <sheetName val="Dw"/>
      <sheetName val="Dw(el)＋"/>
      <sheetName val="Dw(el)ー"/>
      <sheetName val="上反Dw+"/>
      <sheetName val="上反Dwー"/>
      <sheetName val="上反Dw(el)＋"/>
      <sheetName val="上反Dw(el)ー"/>
      <sheetName val="Dw(垂直下)"/>
      <sheetName val="Dw(垂直上)"/>
      <sheetName val="Dw(水平)"/>
      <sheetName val="XFLR"/>
      <sheetName val="SFD.BMD"/>
      <sheetName val="のり計算シート"/>
      <sheetName val="桁重量計算"/>
      <sheetName val="座屈強度"/>
      <sheetName val="構造計算"/>
      <sheetName val="曲げ・ひずみ強度"/>
      <sheetName val="座屈強度 （重力込み）"/>
      <sheetName val="曲げ・ひずみ強度 （重力込み）"/>
      <sheetName val="プレグリブデータ"/>
      <sheetName val="上下曲げ剛性比較"/>
      <sheetName val="前後曲げ剛性比較"/>
      <sheetName val="ねじり剛性比較"/>
      <sheetName val="上反角比較"/>
      <sheetName val="捻じれ角比較"/>
      <sheetName val="たわみグラフ"/>
    </sheetNames>
    <sheetDataSet>
      <sheetData sheetId="0"/>
      <sheetData sheetId="1"/>
      <sheetData sheetId="2"/>
      <sheetData sheetId="3">
        <row r="17">
          <cell r="L17">
            <v>10200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E04A8-F76D-4AB6-BA90-4ECD7A101E02}">
  <sheetPr>
    <tabColor rgb="FFFF0000"/>
  </sheetPr>
  <dimension ref="A1:J20"/>
  <sheetViews>
    <sheetView zoomScale="75" workbookViewId="0">
      <selection activeCell="A16" sqref="A16"/>
    </sheetView>
  </sheetViews>
  <sheetFormatPr baseColWidth="10" defaultColWidth="8.83203125" defaultRowHeight="17" x14ac:dyDescent="0.25"/>
  <sheetData>
    <row r="1" spans="1:10" x14ac:dyDescent="0.25">
      <c r="A1" s="13" t="s">
        <v>5</v>
      </c>
      <c r="B1" s="13"/>
      <c r="C1" s="13"/>
      <c r="D1" s="13"/>
      <c r="E1" s="13"/>
      <c r="F1" s="13"/>
      <c r="G1" s="13"/>
      <c r="H1" s="13"/>
      <c r="I1" s="13"/>
      <c r="J1" s="13"/>
    </row>
    <row r="2" spans="1:10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</row>
    <row r="3" spans="1:10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</row>
    <row r="4" spans="1:10" x14ac:dyDescent="0.25">
      <c r="A4" s="13"/>
      <c r="B4" s="13"/>
      <c r="C4" s="13"/>
      <c r="D4" s="13"/>
      <c r="E4" s="13"/>
      <c r="F4" s="13"/>
      <c r="G4" s="13"/>
      <c r="H4" s="13"/>
      <c r="I4" s="13"/>
      <c r="J4" s="13"/>
    </row>
    <row r="5" spans="1:10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</row>
    <row r="6" spans="1:10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</row>
    <row r="7" spans="1:10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</row>
    <row r="9" spans="1:10" ht="59" x14ac:dyDescent="0.8">
      <c r="A9" s="6" t="s">
        <v>6</v>
      </c>
    </row>
    <row r="10" spans="1:10" ht="45" x14ac:dyDescent="0.6">
      <c r="A10" s="7" t="s">
        <v>24</v>
      </c>
    </row>
    <row r="11" spans="1:10" ht="41" x14ac:dyDescent="0.55000000000000004">
      <c r="A11" s="5" t="s">
        <v>7</v>
      </c>
    </row>
    <row r="12" spans="1:10" ht="45" x14ac:dyDescent="0.6">
      <c r="A12" s="7" t="s">
        <v>10</v>
      </c>
    </row>
    <row r="13" spans="1:10" ht="45" x14ac:dyDescent="0.6">
      <c r="A13" s="7" t="s">
        <v>8</v>
      </c>
    </row>
    <row r="14" spans="1:10" ht="45" x14ac:dyDescent="0.6">
      <c r="A14" s="7" t="s">
        <v>9</v>
      </c>
    </row>
    <row r="15" spans="1:10" ht="45" customHeight="1" x14ac:dyDescent="0.6">
      <c r="A15" s="7" t="s">
        <v>26</v>
      </c>
    </row>
    <row r="16" spans="1:10" ht="59" x14ac:dyDescent="0.8">
      <c r="A16" s="6"/>
    </row>
    <row r="18" spans="1:1" ht="59" x14ac:dyDescent="0.8">
      <c r="A18" s="6"/>
    </row>
    <row r="20" spans="1:1" ht="59" x14ac:dyDescent="0.8">
      <c r="A20" s="6"/>
    </row>
  </sheetData>
  <mergeCells count="1">
    <mergeCell ref="A1:J7"/>
  </mergeCells>
  <phoneticPr fontId="9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387D0-E9C0-45C5-BEAF-102D2459D4E9}">
  <dimension ref="A1:Q124"/>
  <sheetViews>
    <sheetView tabSelected="1" topLeftCell="A72" zoomScaleNormal="85" workbookViewId="0">
      <selection activeCell="E125" sqref="E125"/>
    </sheetView>
  </sheetViews>
  <sheetFormatPr baseColWidth="10" defaultColWidth="8.83203125" defaultRowHeight="17" x14ac:dyDescent="0.25"/>
  <cols>
    <col min="1" max="1" width="25.1640625" bestFit="1" customWidth="1"/>
    <col min="15" max="15" width="8.83203125" customWidth="1"/>
    <col min="17" max="17" width="17.83203125" bestFit="1" customWidth="1"/>
  </cols>
  <sheetData>
    <row r="1" spans="1:17" x14ac:dyDescent="0.25">
      <c r="A1" t="s">
        <v>17</v>
      </c>
      <c r="D1" s="10" t="s">
        <v>23</v>
      </c>
      <c r="Q1" t="s">
        <v>4</v>
      </c>
    </row>
    <row r="2" spans="1:17" x14ac:dyDescent="0.25">
      <c r="A2" t="s">
        <v>12</v>
      </c>
      <c r="B2">
        <v>1.3</v>
      </c>
      <c r="Q2" s="1">
        <f>COUNT(Q4:Q60)</f>
        <v>11</v>
      </c>
    </row>
    <row r="3" spans="1:17" x14ac:dyDescent="0.25">
      <c r="A3" t="s">
        <v>13</v>
      </c>
      <c r="B3">
        <v>0.2</v>
      </c>
      <c r="D3" s="2" t="s">
        <v>0</v>
      </c>
      <c r="E3" s="2" t="s">
        <v>1</v>
      </c>
      <c r="G3" s="2" t="s">
        <v>2</v>
      </c>
      <c r="I3" s="8" t="s">
        <v>18</v>
      </c>
      <c r="J3" s="8" t="s">
        <v>19</v>
      </c>
      <c r="K3" s="8" t="s">
        <v>20</v>
      </c>
      <c r="L3" s="8" t="s">
        <v>21</v>
      </c>
      <c r="M3" s="8"/>
      <c r="N3" s="9" t="s">
        <v>2</v>
      </c>
      <c r="O3" s="8"/>
      <c r="Q3" t="s">
        <v>3</v>
      </c>
    </row>
    <row r="4" spans="1:17" x14ac:dyDescent="0.25">
      <c r="A4" t="s">
        <v>14</v>
      </c>
      <c r="B4">
        <v>0.2</v>
      </c>
      <c r="D4" s="3">
        <v>1</v>
      </c>
      <c r="E4" s="3">
        <v>1E-3</v>
      </c>
      <c r="G4" s="4">
        <f>COUNT(D4:D236)</f>
        <v>121</v>
      </c>
      <c r="I4" s="4">
        <v>0</v>
      </c>
      <c r="J4" s="4">
        <v>0</v>
      </c>
      <c r="K4" s="4">
        <v>0</v>
      </c>
      <c r="L4" s="4">
        <v>0</v>
      </c>
      <c r="M4" s="2"/>
      <c r="N4" s="12">
        <f>COUNT(I4:I236)</f>
        <v>61</v>
      </c>
      <c r="O4" s="4">
        <f>COUNT(K4:K236)</f>
        <v>61</v>
      </c>
      <c r="Q4" s="11">
        <v>0</v>
      </c>
    </row>
    <row r="5" spans="1:17" x14ac:dyDescent="0.25">
      <c r="A5" t="s">
        <v>15</v>
      </c>
      <c r="B5">
        <v>0.08</v>
      </c>
      <c r="D5" s="3">
        <v>0.99</v>
      </c>
      <c r="E5" s="3">
        <v>2.9689999999999999E-3</v>
      </c>
      <c r="I5" s="4">
        <v>5.0000000000000001E-4</v>
      </c>
      <c r="J5" s="4">
        <v>2.3389999999999999E-3</v>
      </c>
      <c r="K5" s="4">
        <v>5.0000000000000001E-4</v>
      </c>
      <c r="L5" s="4">
        <v>-4.6699999999999997E-3</v>
      </c>
      <c r="M5" s="2"/>
      <c r="N5" s="8"/>
      <c r="O5" s="2"/>
      <c r="Q5" s="1">
        <v>50</v>
      </c>
    </row>
    <row r="6" spans="1:17" x14ac:dyDescent="0.25">
      <c r="A6" t="s">
        <v>16</v>
      </c>
      <c r="B6">
        <v>0</v>
      </c>
      <c r="D6" s="3">
        <v>0.98</v>
      </c>
      <c r="E6" s="3">
        <v>5.3334999999999997E-3</v>
      </c>
      <c r="I6" s="4">
        <v>1E-3</v>
      </c>
      <c r="J6" s="4">
        <v>3.7271000000000001E-3</v>
      </c>
      <c r="K6" s="4">
        <v>1E-3</v>
      </c>
      <c r="L6" s="4">
        <v>-5.9417999999999997E-3</v>
      </c>
      <c r="M6" s="2"/>
      <c r="N6" s="8"/>
      <c r="O6" s="2"/>
      <c r="Q6" s="1">
        <f>Q5+50</f>
        <v>100</v>
      </c>
    </row>
    <row r="7" spans="1:17" x14ac:dyDescent="0.25">
      <c r="A7" t="s">
        <v>11</v>
      </c>
      <c r="B7">
        <v>5</v>
      </c>
      <c r="D7" s="3">
        <v>0.97</v>
      </c>
      <c r="E7" s="3">
        <v>7.6867999999999997E-3</v>
      </c>
      <c r="I7" s="4">
        <v>2E-3</v>
      </c>
      <c r="J7" s="4">
        <v>5.8025000000000004E-3</v>
      </c>
      <c r="K7" s="4">
        <v>2E-3</v>
      </c>
      <c r="L7" s="4">
        <v>-7.8113000000000002E-3</v>
      </c>
      <c r="M7" s="2"/>
      <c r="N7" s="8"/>
      <c r="O7" s="2"/>
      <c r="Q7" s="11">
        <f t="shared" ref="Q7:Q12" si="0">Q6+50</f>
        <v>150</v>
      </c>
    </row>
    <row r="8" spans="1:17" x14ac:dyDescent="0.25">
      <c r="A8" t="s">
        <v>25</v>
      </c>
      <c r="B8">
        <v>0.25</v>
      </c>
      <c r="D8" s="3">
        <v>0.96</v>
      </c>
      <c r="E8" s="3">
        <v>1.0023199999999999E-2</v>
      </c>
      <c r="I8" s="4">
        <v>4.0000000000000001E-3</v>
      </c>
      <c r="J8" s="4">
        <v>8.9238000000000008E-3</v>
      </c>
      <c r="K8" s="4">
        <v>4.0000000000000001E-3</v>
      </c>
      <c r="L8" s="4">
        <v>-1.05126E-2</v>
      </c>
      <c r="M8" s="2"/>
      <c r="N8" s="8"/>
      <c r="O8" s="2"/>
      <c r="Q8" s="1">
        <f t="shared" si="0"/>
        <v>200</v>
      </c>
    </row>
    <row r="9" spans="1:17" x14ac:dyDescent="0.25">
      <c r="A9" t="s">
        <v>22</v>
      </c>
      <c r="B9">
        <v>3.9</v>
      </c>
      <c r="D9" s="3">
        <v>0.94</v>
      </c>
      <c r="E9" s="3">
        <v>1.46239E-2</v>
      </c>
      <c r="I9" s="4">
        <v>8.0000000000000002E-3</v>
      </c>
      <c r="J9" s="4">
        <v>1.3735000000000001E-2</v>
      </c>
      <c r="K9" s="4">
        <v>8.0000000000000002E-3</v>
      </c>
      <c r="L9" s="4">
        <v>-1.4286200000000001E-2</v>
      </c>
      <c r="M9" s="2"/>
      <c r="N9" s="8"/>
      <c r="O9" s="2"/>
      <c r="Q9" s="11">
        <f t="shared" si="0"/>
        <v>250</v>
      </c>
    </row>
    <row r="10" spans="1:17" x14ac:dyDescent="0.25">
      <c r="D10" s="3">
        <v>0.92</v>
      </c>
      <c r="E10" s="3">
        <v>1.91156E-2</v>
      </c>
      <c r="I10" s="4">
        <v>1.2E-2</v>
      </c>
      <c r="J10" s="4">
        <v>1.7858099999999998E-2</v>
      </c>
      <c r="K10" s="4">
        <v>1.2E-2</v>
      </c>
      <c r="L10" s="4">
        <v>-1.69733E-2</v>
      </c>
      <c r="M10" s="2"/>
      <c r="N10" s="2"/>
      <c r="O10" s="2"/>
      <c r="Q10" s="1">
        <f t="shared" si="0"/>
        <v>300</v>
      </c>
    </row>
    <row r="11" spans="1:17" x14ac:dyDescent="0.25">
      <c r="D11" s="3">
        <v>0.9</v>
      </c>
      <c r="E11" s="3">
        <v>2.3502499999999999E-2</v>
      </c>
      <c r="I11" s="4">
        <v>0.02</v>
      </c>
      <c r="J11" s="4">
        <v>2.53735E-2</v>
      </c>
      <c r="K11" s="4">
        <v>0.02</v>
      </c>
      <c r="L11" s="4">
        <v>-2.02723E-2</v>
      </c>
      <c r="M11" s="2"/>
      <c r="N11" s="2"/>
      <c r="O11" s="2"/>
      <c r="Q11" s="11">
        <f t="shared" si="0"/>
        <v>350</v>
      </c>
    </row>
    <row r="12" spans="1:17" x14ac:dyDescent="0.25">
      <c r="D12" s="3">
        <v>0.88</v>
      </c>
      <c r="E12" s="3">
        <v>2.7789100000000001E-2</v>
      </c>
      <c r="I12" s="4">
        <v>0.03</v>
      </c>
      <c r="J12" s="4">
        <v>3.3021500000000002E-2</v>
      </c>
      <c r="K12" s="4">
        <v>0.03</v>
      </c>
      <c r="L12" s="4">
        <v>-2.26056E-2</v>
      </c>
      <c r="M12" s="2"/>
      <c r="N12" s="2"/>
      <c r="O12" s="2"/>
      <c r="Q12" s="1">
        <f t="shared" si="0"/>
        <v>400</v>
      </c>
    </row>
    <row r="13" spans="1:17" x14ac:dyDescent="0.25">
      <c r="D13" s="3">
        <v>0.86</v>
      </c>
      <c r="E13" s="3">
        <v>3.1974000000000002E-2</v>
      </c>
      <c r="I13" s="4">
        <v>0.04</v>
      </c>
      <c r="J13" s="4">
        <v>3.9128299999999998E-2</v>
      </c>
      <c r="K13" s="4">
        <v>0.04</v>
      </c>
      <c r="L13" s="4">
        <v>-2.4521100000000001E-2</v>
      </c>
      <c r="M13" s="2"/>
      <c r="N13" s="2"/>
      <c r="O13" s="8"/>
      <c r="Q13" s="1">
        <v>450</v>
      </c>
    </row>
    <row r="14" spans="1:17" x14ac:dyDescent="0.25">
      <c r="D14" s="3">
        <v>0.84</v>
      </c>
      <c r="E14" s="3">
        <v>3.6053599999999998E-2</v>
      </c>
      <c r="I14" s="4">
        <v>0.05</v>
      </c>
      <c r="J14" s="4">
        <v>4.4275299999999997E-2</v>
      </c>
      <c r="K14" s="4">
        <v>0.05</v>
      </c>
      <c r="L14" s="4">
        <v>-2.6045200000000001E-2</v>
      </c>
      <c r="M14" s="2"/>
      <c r="N14" s="2"/>
      <c r="O14" s="2"/>
      <c r="Q14" s="11">
        <v>500</v>
      </c>
    </row>
    <row r="15" spans="1:17" x14ac:dyDescent="0.25">
      <c r="D15" s="3">
        <v>0.82</v>
      </c>
      <c r="E15" s="3">
        <v>4.0024499999999998E-2</v>
      </c>
      <c r="I15" s="4">
        <v>0.06</v>
      </c>
      <c r="J15" s="4">
        <v>4.8757099999999998E-2</v>
      </c>
      <c r="K15" s="4">
        <v>0.06</v>
      </c>
      <c r="L15" s="4">
        <v>-2.7127700000000001E-2</v>
      </c>
      <c r="M15" s="2"/>
      <c r="N15" s="2"/>
      <c r="O15" s="2"/>
      <c r="Q15" s="1"/>
    </row>
    <row r="16" spans="1:17" x14ac:dyDescent="0.25">
      <c r="D16" s="3">
        <v>0.8</v>
      </c>
      <c r="E16" s="3">
        <v>4.3883600000000002E-2</v>
      </c>
      <c r="I16" s="4">
        <v>0.08</v>
      </c>
      <c r="J16" s="4">
        <v>5.6430800000000003E-2</v>
      </c>
      <c r="K16" s="4">
        <v>0.08</v>
      </c>
      <c r="L16" s="4">
        <v>-2.8459499999999999E-2</v>
      </c>
      <c r="M16" s="2"/>
      <c r="N16" s="2"/>
      <c r="O16" s="2"/>
      <c r="Q16" s="1"/>
    </row>
    <row r="17" spans="4:17" x14ac:dyDescent="0.25">
      <c r="D17" s="3">
        <v>0.78</v>
      </c>
      <c r="E17" s="3">
        <v>4.76281E-2</v>
      </c>
      <c r="I17" s="4">
        <v>0.1</v>
      </c>
      <c r="J17" s="4">
        <v>6.2998100000000001E-2</v>
      </c>
      <c r="K17" s="4">
        <v>0.1</v>
      </c>
      <c r="L17" s="4">
        <v>-2.9378600000000001E-2</v>
      </c>
      <c r="M17" s="2"/>
      <c r="N17" s="2"/>
      <c r="O17" s="2"/>
      <c r="Q17" s="1"/>
    </row>
    <row r="18" spans="4:17" x14ac:dyDescent="0.25">
      <c r="D18" s="3">
        <v>0.76</v>
      </c>
      <c r="E18" s="3">
        <v>5.1256500000000003E-2</v>
      </c>
      <c r="I18" s="4">
        <v>0.12</v>
      </c>
      <c r="J18" s="4">
        <v>6.8620399999999998E-2</v>
      </c>
      <c r="K18" s="4">
        <v>0.12</v>
      </c>
      <c r="L18" s="4">
        <v>-2.9963299999999998E-2</v>
      </c>
      <c r="M18" s="2"/>
      <c r="N18" s="2"/>
      <c r="O18" s="2"/>
      <c r="Q18" s="1"/>
    </row>
    <row r="19" spans="4:17" x14ac:dyDescent="0.25">
      <c r="D19" s="3">
        <v>0.74</v>
      </c>
      <c r="E19" s="3">
        <v>5.4767499999999997E-2</v>
      </c>
      <c r="I19" s="4">
        <v>0.14000000000000001</v>
      </c>
      <c r="J19" s="4">
        <v>7.3436000000000001E-2</v>
      </c>
      <c r="K19" s="4">
        <v>0.14000000000000001</v>
      </c>
      <c r="L19" s="4">
        <v>-3.0240400000000001E-2</v>
      </c>
      <c r="M19" s="2"/>
      <c r="N19" s="2"/>
      <c r="O19" s="2"/>
      <c r="Q19" s="1"/>
    </row>
    <row r="20" spans="4:17" x14ac:dyDescent="0.25">
      <c r="D20" s="3">
        <v>0.72</v>
      </c>
      <c r="E20" s="3">
        <v>5.81599E-2</v>
      </c>
      <c r="I20" s="4">
        <v>0.16</v>
      </c>
      <c r="J20" s="4">
        <v>7.7570700000000006E-2</v>
      </c>
      <c r="K20" s="4">
        <v>0.16</v>
      </c>
      <c r="L20" s="4">
        <v>-3.02546E-2</v>
      </c>
      <c r="M20" s="2"/>
      <c r="N20" s="2"/>
      <c r="O20" s="2"/>
      <c r="Q20" s="1"/>
    </row>
    <row r="21" spans="4:17" x14ac:dyDescent="0.25">
      <c r="D21" s="3">
        <v>0.7</v>
      </c>
      <c r="E21" s="3">
        <v>6.1432899999999999E-2</v>
      </c>
      <c r="I21" s="4">
        <v>0.18</v>
      </c>
      <c r="J21" s="4">
        <v>8.1068699999999994E-2</v>
      </c>
      <c r="K21" s="4">
        <v>0.18</v>
      </c>
      <c r="L21" s="4">
        <v>-3.0048999999999999E-2</v>
      </c>
      <c r="M21" s="2"/>
      <c r="N21" s="2"/>
      <c r="O21" s="2"/>
      <c r="Q21" s="1"/>
    </row>
    <row r="22" spans="4:17" x14ac:dyDescent="0.25">
      <c r="D22" s="3">
        <v>0.68</v>
      </c>
      <c r="E22" s="3">
        <v>6.4584299999999997E-2</v>
      </c>
      <c r="I22" s="4">
        <v>0.2</v>
      </c>
      <c r="J22" s="4">
        <v>8.39202E-2</v>
      </c>
      <c r="K22" s="4">
        <v>0.2</v>
      </c>
      <c r="L22" s="4">
        <v>-2.96656E-2</v>
      </c>
      <c r="M22" s="2"/>
      <c r="N22" s="2"/>
      <c r="O22" s="2"/>
      <c r="Q22" s="1"/>
    </row>
    <row r="23" spans="4:17" x14ac:dyDescent="0.25">
      <c r="D23" s="3">
        <v>0.66</v>
      </c>
      <c r="E23" s="3">
        <v>6.7604600000000001E-2</v>
      </c>
      <c r="I23" s="4">
        <v>0.22</v>
      </c>
      <c r="J23" s="4">
        <v>8.6143300000000006E-2</v>
      </c>
      <c r="K23" s="4">
        <v>0.22</v>
      </c>
      <c r="L23" s="4">
        <v>-2.91445E-2</v>
      </c>
      <c r="M23" s="2"/>
      <c r="N23" s="2"/>
      <c r="O23" s="2"/>
      <c r="Q23" s="1"/>
    </row>
    <row r="24" spans="4:17" x14ac:dyDescent="0.25">
      <c r="D24" s="3">
        <v>0.64</v>
      </c>
      <c r="E24" s="3">
        <v>7.0482199999999995E-2</v>
      </c>
      <c r="I24" s="4">
        <v>0.24</v>
      </c>
      <c r="J24" s="4">
        <v>8.7830800000000001E-2</v>
      </c>
      <c r="K24" s="4">
        <v>0.24</v>
      </c>
      <c r="L24" s="4">
        <v>-2.8518100000000001E-2</v>
      </c>
      <c r="M24" s="2"/>
      <c r="N24" s="2"/>
      <c r="O24" s="2"/>
      <c r="Q24" s="1"/>
    </row>
    <row r="25" spans="4:17" x14ac:dyDescent="0.25">
      <c r="D25" s="3">
        <v>0.62</v>
      </c>
      <c r="E25" s="3">
        <v>7.3205500000000007E-2</v>
      </c>
      <c r="I25" s="4">
        <v>0.26</v>
      </c>
      <c r="J25" s="4">
        <v>8.9083999999999997E-2</v>
      </c>
      <c r="K25" s="4">
        <v>0.26</v>
      </c>
      <c r="L25" s="4">
        <v>-2.7816400000000002E-2</v>
      </c>
      <c r="M25" s="2"/>
      <c r="N25" s="2"/>
      <c r="O25" s="2"/>
    </row>
    <row r="26" spans="4:17" x14ac:dyDescent="0.25">
      <c r="D26" s="3">
        <v>0.6</v>
      </c>
      <c r="E26" s="3">
        <v>7.5763300000000006E-2</v>
      </c>
      <c r="I26" s="4">
        <v>0.28000000000000003</v>
      </c>
      <c r="J26" s="4">
        <v>9.0001600000000001E-2</v>
      </c>
      <c r="K26" s="4">
        <v>0.28000000000000003</v>
      </c>
      <c r="L26" s="4">
        <v>-2.7069599999999999E-2</v>
      </c>
      <c r="M26" s="2"/>
      <c r="N26" s="2"/>
      <c r="O26" s="2"/>
    </row>
    <row r="27" spans="4:17" x14ac:dyDescent="0.25">
      <c r="D27" s="3">
        <v>0.57999999999999996</v>
      </c>
      <c r="E27" s="3">
        <v>7.8145099999999995E-2</v>
      </c>
      <c r="I27" s="4">
        <v>0.3</v>
      </c>
      <c r="J27" s="4">
        <v>9.0680399999999994E-2</v>
      </c>
      <c r="K27" s="4">
        <v>0.3</v>
      </c>
      <c r="L27" s="4">
        <v>-2.6307899999999999E-2</v>
      </c>
      <c r="M27" s="2"/>
      <c r="N27" s="2"/>
      <c r="O27" s="2"/>
    </row>
    <row r="28" spans="4:17" x14ac:dyDescent="0.25">
      <c r="D28" s="3">
        <v>0.56000000000000005</v>
      </c>
      <c r="E28" s="3">
        <v>8.0348000000000003E-2</v>
      </c>
      <c r="I28" s="4">
        <v>0.32</v>
      </c>
      <c r="J28" s="4">
        <v>9.1185699999999995E-2</v>
      </c>
      <c r="K28" s="4">
        <v>0.32</v>
      </c>
      <c r="L28" s="4">
        <v>-2.5556499999999999E-2</v>
      </c>
      <c r="M28" s="2"/>
      <c r="N28" s="2"/>
      <c r="O28" s="2"/>
    </row>
    <row r="29" spans="4:17" x14ac:dyDescent="0.25">
      <c r="D29" s="3">
        <v>0.54</v>
      </c>
      <c r="E29" s="3">
        <v>8.2371200000000006E-2</v>
      </c>
      <c r="I29" s="4">
        <v>0.34</v>
      </c>
      <c r="J29" s="4">
        <v>9.1507900000000003E-2</v>
      </c>
      <c r="K29" s="4">
        <v>0.34</v>
      </c>
      <c r="L29" s="4">
        <v>-2.4817599999999999E-2</v>
      </c>
      <c r="M29" s="2"/>
      <c r="N29" s="2"/>
      <c r="O29" s="2"/>
    </row>
    <row r="30" spans="4:17" x14ac:dyDescent="0.25">
      <c r="D30" s="3">
        <v>0.52</v>
      </c>
      <c r="E30" s="3">
        <v>8.4214499999999998E-2</v>
      </c>
      <c r="I30" s="4">
        <v>0.36</v>
      </c>
      <c r="J30" s="4">
        <v>9.1626600000000002E-2</v>
      </c>
      <c r="K30" s="4">
        <v>0.36</v>
      </c>
      <c r="L30" s="4">
        <v>-2.4087000000000001E-2</v>
      </c>
      <c r="M30" s="2"/>
      <c r="N30" s="2"/>
      <c r="O30" s="2"/>
    </row>
    <row r="31" spans="4:17" x14ac:dyDescent="0.25">
      <c r="D31" s="3">
        <v>0.5</v>
      </c>
      <c r="E31" s="3">
        <v>8.5877200000000001E-2</v>
      </c>
      <c r="I31" s="4">
        <v>0.38</v>
      </c>
      <c r="J31" s="4">
        <v>9.1521199999999997E-2</v>
      </c>
      <c r="K31" s="4">
        <v>0.38</v>
      </c>
      <c r="L31" s="4">
        <v>-2.3360599999999999E-2</v>
      </c>
      <c r="M31" s="2"/>
      <c r="N31" s="2"/>
      <c r="O31" s="2"/>
    </row>
    <row r="32" spans="4:17" x14ac:dyDescent="0.25">
      <c r="D32" s="3">
        <v>0.48</v>
      </c>
      <c r="E32" s="3">
        <v>8.7357199999999996E-2</v>
      </c>
      <c r="I32" s="4">
        <v>0.4</v>
      </c>
      <c r="J32" s="4">
        <v>9.1171199999999994E-2</v>
      </c>
      <c r="K32" s="4">
        <v>0.4</v>
      </c>
      <c r="L32" s="4">
        <v>-2.2634100000000001E-2</v>
      </c>
      <c r="M32" s="2"/>
      <c r="N32" s="2"/>
      <c r="O32" s="2"/>
    </row>
    <row r="33" spans="4:15" x14ac:dyDescent="0.25">
      <c r="D33" s="3">
        <v>0.46</v>
      </c>
      <c r="E33" s="3">
        <v>8.8642700000000005E-2</v>
      </c>
      <c r="I33" s="4">
        <v>0.42</v>
      </c>
      <c r="J33" s="4">
        <v>9.0565699999999999E-2</v>
      </c>
      <c r="K33" s="4">
        <v>0.42</v>
      </c>
      <c r="L33" s="4">
        <v>-2.1904199999999999E-2</v>
      </c>
      <c r="M33" s="2"/>
      <c r="N33" s="2"/>
      <c r="O33" s="2"/>
    </row>
    <row r="34" spans="4:15" x14ac:dyDescent="0.25">
      <c r="D34" s="3">
        <v>0.44</v>
      </c>
      <c r="E34" s="3">
        <v>8.9717500000000006E-2</v>
      </c>
      <c r="I34" s="4">
        <v>0.44</v>
      </c>
      <c r="J34" s="4">
        <v>8.9717500000000006E-2</v>
      </c>
      <c r="K34" s="4">
        <v>0.44</v>
      </c>
      <c r="L34" s="4">
        <v>-2.11708E-2</v>
      </c>
      <c r="M34" s="2"/>
      <c r="N34" s="2"/>
      <c r="O34" s="2"/>
    </row>
    <row r="35" spans="4:15" x14ac:dyDescent="0.25">
      <c r="D35" s="3">
        <v>0.42</v>
      </c>
      <c r="E35" s="3">
        <v>9.0565699999999999E-2</v>
      </c>
      <c r="I35" s="4">
        <v>0.46</v>
      </c>
      <c r="J35" s="4">
        <v>8.8642700000000005E-2</v>
      </c>
      <c r="K35" s="4">
        <v>0.46</v>
      </c>
      <c r="L35" s="4">
        <v>-2.04353E-2</v>
      </c>
      <c r="M35" s="2"/>
      <c r="N35" s="2"/>
      <c r="O35" s="2"/>
    </row>
    <row r="36" spans="4:15" x14ac:dyDescent="0.25">
      <c r="D36" s="3">
        <v>0.4</v>
      </c>
      <c r="E36" s="3">
        <v>9.1171199999999994E-2</v>
      </c>
      <c r="I36" s="4">
        <v>0.48</v>
      </c>
      <c r="J36" s="4">
        <v>8.7357199999999996E-2</v>
      </c>
      <c r="K36" s="4">
        <v>0.48</v>
      </c>
      <c r="L36" s="4">
        <v>-1.96986E-2</v>
      </c>
      <c r="M36" s="2"/>
      <c r="N36" s="2"/>
      <c r="O36" s="2"/>
    </row>
    <row r="37" spans="4:15" x14ac:dyDescent="0.25">
      <c r="D37" s="3">
        <v>0.38</v>
      </c>
      <c r="E37" s="3">
        <v>9.1521199999999997E-2</v>
      </c>
      <c r="F37" s="2"/>
      <c r="G37" s="2"/>
      <c r="H37" s="2"/>
      <c r="I37" s="4">
        <v>0.5</v>
      </c>
      <c r="J37" s="4">
        <v>8.5877200000000001E-2</v>
      </c>
      <c r="K37" s="4">
        <v>0.5</v>
      </c>
      <c r="L37" s="4">
        <v>-1.89619E-2</v>
      </c>
      <c r="M37" s="2"/>
    </row>
    <row r="38" spans="4:15" x14ac:dyDescent="0.25">
      <c r="D38" s="3">
        <v>0.36</v>
      </c>
      <c r="E38" s="3">
        <v>9.1626600000000002E-2</v>
      </c>
      <c r="F38" s="2"/>
      <c r="G38" s="2"/>
      <c r="H38" s="2"/>
      <c r="I38" s="4">
        <v>0.52</v>
      </c>
      <c r="J38" s="4">
        <v>8.4214499999999998E-2</v>
      </c>
      <c r="K38" s="4">
        <v>0.52</v>
      </c>
      <c r="L38" s="4">
        <v>-1.8226200000000001E-2</v>
      </c>
      <c r="M38" s="2"/>
    </row>
    <row r="39" spans="4:15" x14ac:dyDescent="0.25">
      <c r="D39" s="3">
        <v>0.34</v>
      </c>
      <c r="E39" s="3">
        <v>9.1507900000000003E-2</v>
      </c>
      <c r="F39" s="2"/>
      <c r="G39" s="2"/>
      <c r="H39" s="2"/>
      <c r="I39" s="4">
        <v>0.54</v>
      </c>
      <c r="J39" s="4">
        <v>8.2371200000000006E-2</v>
      </c>
      <c r="K39" s="4">
        <v>0.54</v>
      </c>
      <c r="L39" s="4">
        <v>-1.7491400000000001E-2</v>
      </c>
      <c r="M39" s="2"/>
    </row>
    <row r="40" spans="4:15" x14ac:dyDescent="0.25">
      <c r="D40" s="3">
        <v>0.32</v>
      </c>
      <c r="E40" s="3">
        <v>9.1185699999999995E-2</v>
      </c>
      <c r="F40" s="2"/>
      <c r="G40" s="2"/>
      <c r="H40" s="2"/>
      <c r="I40" s="4">
        <v>0.56000000000000005</v>
      </c>
      <c r="J40" s="4">
        <v>8.0348000000000003E-2</v>
      </c>
      <c r="K40" s="4">
        <v>0.56000000000000005</v>
      </c>
      <c r="L40" s="4">
        <v>-1.67572E-2</v>
      </c>
      <c r="M40" s="2"/>
    </row>
    <row r="41" spans="4:15" x14ac:dyDescent="0.25">
      <c r="D41" s="3">
        <v>0.3</v>
      </c>
      <c r="E41" s="3">
        <v>9.0680399999999994E-2</v>
      </c>
      <c r="F41" s="2"/>
      <c r="G41" s="2"/>
      <c r="H41" s="2"/>
      <c r="I41" s="4">
        <v>0.57999999999999996</v>
      </c>
      <c r="J41" s="4">
        <v>7.8145099999999995E-2</v>
      </c>
      <c r="K41" s="4">
        <v>0.57999999999999996</v>
      </c>
      <c r="L41" s="4">
        <v>-1.6023200000000001E-2</v>
      </c>
      <c r="M41" s="2"/>
    </row>
    <row r="42" spans="4:15" x14ac:dyDescent="0.25">
      <c r="D42" s="3">
        <v>0.28000000000000003</v>
      </c>
      <c r="E42" s="3">
        <v>9.0001600000000001E-2</v>
      </c>
      <c r="F42" s="2"/>
      <c r="G42" s="2"/>
      <c r="H42" s="2"/>
      <c r="I42" s="4">
        <v>0.6</v>
      </c>
      <c r="J42" s="4">
        <v>7.5763300000000006E-2</v>
      </c>
      <c r="K42" s="4">
        <v>0.6</v>
      </c>
      <c r="L42" s="4">
        <v>-1.52893E-2</v>
      </c>
      <c r="M42" s="2"/>
    </row>
    <row r="43" spans="4:15" x14ac:dyDescent="0.25">
      <c r="D43" s="3">
        <v>0.26</v>
      </c>
      <c r="E43" s="3">
        <v>8.9083999999999997E-2</v>
      </c>
      <c r="I43" s="1">
        <v>0.62</v>
      </c>
      <c r="J43" s="1">
        <v>7.3205500000000007E-2</v>
      </c>
      <c r="K43" s="1">
        <v>0.62</v>
      </c>
      <c r="L43" s="1">
        <v>-1.45551E-2</v>
      </c>
    </row>
    <row r="44" spans="4:15" x14ac:dyDescent="0.25">
      <c r="D44" s="3">
        <v>0.24</v>
      </c>
      <c r="E44" s="3">
        <v>8.7830800000000001E-2</v>
      </c>
      <c r="I44" s="1">
        <v>0.64</v>
      </c>
      <c r="J44" s="1">
        <v>7.0482199999999995E-2</v>
      </c>
      <c r="K44" s="1">
        <v>0.64</v>
      </c>
      <c r="L44" s="1">
        <v>-1.38207E-2</v>
      </c>
    </row>
    <row r="45" spans="4:15" x14ac:dyDescent="0.25">
      <c r="D45" s="3">
        <v>0.22</v>
      </c>
      <c r="E45" s="3">
        <v>8.6143300000000006E-2</v>
      </c>
      <c r="I45" s="1">
        <v>0.66</v>
      </c>
      <c r="J45" s="1">
        <v>6.7604600000000001E-2</v>
      </c>
      <c r="K45" s="1">
        <v>0.66</v>
      </c>
      <c r="L45" s="1">
        <v>-1.3086199999999999E-2</v>
      </c>
    </row>
    <row r="46" spans="4:15" x14ac:dyDescent="0.25">
      <c r="D46" s="3">
        <v>0.2</v>
      </c>
      <c r="E46" s="3">
        <v>8.39202E-2</v>
      </c>
      <c r="I46" s="1">
        <v>0.68</v>
      </c>
      <c r="J46" s="1">
        <v>6.4584299999999997E-2</v>
      </c>
      <c r="K46" s="1">
        <v>0.68</v>
      </c>
      <c r="L46" s="1">
        <v>-1.23515E-2</v>
      </c>
    </row>
    <row r="47" spans="4:15" x14ac:dyDescent="0.25">
      <c r="D47" s="3">
        <v>0.18</v>
      </c>
      <c r="E47" s="3">
        <v>8.1068699999999994E-2</v>
      </c>
      <c r="I47" s="1">
        <v>0.7</v>
      </c>
      <c r="J47" s="1">
        <v>6.1432899999999999E-2</v>
      </c>
      <c r="K47" s="1">
        <v>0.7</v>
      </c>
      <c r="L47" s="1">
        <v>-1.1616899999999999E-2</v>
      </c>
    </row>
    <row r="48" spans="4:15" x14ac:dyDescent="0.25">
      <c r="D48" s="3">
        <v>0.16</v>
      </c>
      <c r="E48" s="3">
        <v>7.7570700000000006E-2</v>
      </c>
      <c r="I48" s="1">
        <v>0.72</v>
      </c>
      <c r="J48" s="1">
        <v>5.81599E-2</v>
      </c>
      <c r="K48" s="1">
        <v>0.72</v>
      </c>
      <c r="L48" s="1">
        <v>-1.0882299999999999E-2</v>
      </c>
    </row>
    <row r="49" spans="4:12" x14ac:dyDescent="0.25">
      <c r="D49" s="3">
        <v>0.14000000000000001</v>
      </c>
      <c r="E49" s="3">
        <v>7.3436000000000001E-2</v>
      </c>
      <c r="I49" s="1">
        <v>0.74</v>
      </c>
      <c r="J49" s="1">
        <v>5.4767499999999997E-2</v>
      </c>
      <c r="K49" s="1">
        <v>0.74</v>
      </c>
      <c r="L49" s="1">
        <v>-1.01478E-2</v>
      </c>
    </row>
    <row r="50" spans="4:12" x14ac:dyDescent="0.25">
      <c r="D50" s="3">
        <v>0.12</v>
      </c>
      <c r="E50" s="3">
        <v>6.8620399999999998E-2</v>
      </c>
      <c r="I50" s="1">
        <v>0.76</v>
      </c>
      <c r="J50" s="1">
        <v>5.1256500000000003E-2</v>
      </c>
      <c r="K50" s="1">
        <v>0.76</v>
      </c>
      <c r="L50" s="1">
        <v>-9.4132999999999994E-3</v>
      </c>
    </row>
    <row r="51" spans="4:12" x14ac:dyDescent="0.25">
      <c r="D51" s="3">
        <v>0.1</v>
      </c>
      <c r="E51" s="3">
        <v>6.2998100000000001E-2</v>
      </c>
      <c r="I51" s="1">
        <v>0.78</v>
      </c>
      <c r="J51" s="1">
        <v>4.76281E-2</v>
      </c>
      <c r="K51" s="1">
        <v>0.78</v>
      </c>
      <c r="L51" s="1">
        <v>-8.6788000000000004E-3</v>
      </c>
    </row>
    <row r="52" spans="4:12" x14ac:dyDescent="0.25">
      <c r="D52" s="3">
        <v>0.08</v>
      </c>
      <c r="E52" s="3">
        <v>5.6430800000000003E-2</v>
      </c>
      <c r="I52" s="1">
        <v>0.8</v>
      </c>
      <c r="J52" s="1">
        <v>4.3883600000000002E-2</v>
      </c>
      <c r="K52" s="1">
        <v>0.8</v>
      </c>
      <c r="L52" s="1">
        <v>-7.9442999999999996E-3</v>
      </c>
    </row>
    <row r="53" spans="4:12" x14ac:dyDescent="0.25">
      <c r="D53" s="3">
        <v>0.06</v>
      </c>
      <c r="E53" s="3">
        <v>4.8757099999999998E-2</v>
      </c>
      <c r="I53" s="1">
        <v>0.82</v>
      </c>
      <c r="J53" s="1">
        <v>4.0024499999999998E-2</v>
      </c>
      <c r="K53" s="1">
        <v>0.82</v>
      </c>
      <c r="L53" s="1">
        <v>-7.2097999999999997E-3</v>
      </c>
    </row>
    <row r="54" spans="4:12" x14ac:dyDescent="0.25">
      <c r="D54" s="3">
        <v>0.05</v>
      </c>
      <c r="E54" s="3">
        <v>4.4275299999999997E-2</v>
      </c>
      <c r="I54" s="1">
        <v>0.84</v>
      </c>
      <c r="J54" s="1">
        <v>3.6053599999999998E-2</v>
      </c>
      <c r="K54" s="1">
        <v>0.84</v>
      </c>
      <c r="L54" s="1">
        <v>-6.4752999999999998E-3</v>
      </c>
    </row>
    <row r="55" spans="4:12" x14ac:dyDescent="0.25">
      <c r="D55" s="3">
        <v>0.04</v>
      </c>
      <c r="E55" s="3">
        <v>3.9128299999999998E-2</v>
      </c>
      <c r="I55" s="1">
        <v>0.86</v>
      </c>
      <c r="J55" s="1">
        <v>3.1974000000000002E-2</v>
      </c>
      <c r="K55" s="1">
        <v>0.86</v>
      </c>
      <c r="L55" s="1">
        <v>-5.7407999999999999E-3</v>
      </c>
    </row>
    <row r="56" spans="4:12" x14ac:dyDescent="0.25">
      <c r="D56" s="3">
        <v>0.03</v>
      </c>
      <c r="E56" s="3">
        <v>3.3021500000000002E-2</v>
      </c>
      <c r="I56" s="1">
        <v>0.88</v>
      </c>
      <c r="J56" s="1">
        <v>2.7789100000000001E-2</v>
      </c>
      <c r="K56" s="1">
        <v>0.88</v>
      </c>
      <c r="L56" s="1">
        <v>-5.0063E-3</v>
      </c>
    </row>
    <row r="57" spans="4:12" x14ac:dyDescent="0.25">
      <c r="D57" s="3">
        <v>0.02</v>
      </c>
      <c r="E57" s="3">
        <v>2.53735E-2</v>
      </c>
      <c r="I57" s="1">
        <v>0.9</v>
      </c>
      <c r="J57" s="1">
        <v>2.3502499999999999E-2</v>
      </c>
      <c r="K57" s="1">
        <v>0.9</v>
      </c>
      <c r="L57" s="1">
        <v>-4.2718000000000001E-3</v>
      </c>
    </row>
    <row r="58" spans="4:12" x14ac:dyDescent="0.25">
      <c r="D58" s="3">
        <v>1.2E-2</v>
      </c>
      <c r="E58" s="3">
        <v>1.7858099999999998E-2</v>
      </c>
      <c r="I58" s="1">
        <v>0.92</v>
      </c>
      <c r="J58" s="1">
        <v>1.91156E-2</v>
      </c>
      <c r="K58" s="1">
        <v>0.92</v>
      </c>
      <c r="L58" s="1">
        <v>-3.5373000000000002E-3</v>
      </c>
    </row>
    <row r="59" spans="4:12" x14ac:dyDescent="0.25">
      <c r="D59" s="3">
        <v>8.0000000000000002E-3</v>
      </c>
      <c r="E59" s="3">
        <v>1.3735000000000001E-2</v>
      </c>
      <c r="I59" s="1">
        <v>0.94</v>
      </c>
      <c r="J59" s="1">
        <v>1.46239E-2</v>
      </c>
      <c r="K59" s="1">
        <v>0.94</v>
      </c>
      <c r="L59" s="1">
        <v>-2.8027999999999998E-3</v>
      </c>
    </row>
    <row r="60" spans="4:12" x14ac:dyDescent="0.25">
      <c r="D60" s="3">
        <v>4.0000000000000001E-3</v>
      </c>
      <c r="E60" s="3">
        <v>8.9238000000000008E-3</v>
      </c>
      <c r="I60" s="1">
        <v>0.96</v>
      </c>
      <c r="J60" s="1">
        <v>1.0023199999999999E-2</v>
      </c>
      <c r="K60" s="1">
        <v>0.96</v>
      </c>
      <c r="L60" s="1">
        <v>-2.0682999999999999E-3</v>
      </c>
    </row>
    <row r="61" spans="4:12" x14ac:dyDescent="0.25">
      <c r="D61" s="3">
        <v>2E-3</v>
      </c>
      <c r="E61" s="3">
        <v>5.8025000000000004E-3</v>
      </c>
      <c r="I61" s="1">
        <v>0.97</v>
      </c>
      <c r="J61" s="1">
        <v>7.6867999999999997E-3</v>
      </c>
      <c r="K61" s="1">
        <v>0.97</v>
      </c>
      <c r="L61" s="1">
        <v>-1.7011000000000001E-3</v>
      </c>
    </row>
    <row r="62" spans="4:12" x14ac:dyDescent="0.25">
      <c r="D62" s="3">
        <v>1E-3</v>
      </c>
      <c r="E62" s="3">
        <v>3.7271000000000001E-3</v>
      </c>
      <c r="I62" s="1">
        <v>0.98</v>
      </c>
      <c r="J62" s="1">
        <v>5.3334999999999997E-3</v>
      </c>
      <c r="K62" s="1">
        <v>0.98</v>
      </c>
      <c r="L62" s="1">
        <v>-1.3339000000000001E-3</v>
      </c>
    </row>
    <row r="63" spans="4:12" x14ac:dyDescent="0.25">
      <c r="D63" s="3">
        <v>5.0000000000000001E-4</v>
      </c>
      <c r="E63" s="3">
        <v>2.3389999999999999E-3</v>
      </c>
      <c r="I63" s="1">
        <v>0.99</v>
      </c>
      <c r="J63" s="1">
        <v>2.9689999999999999E-3</v>
      </c>
      <c r="K63" s="1">
        <v>0.99</v>
      </c>
      <c r="L63" s="1">
        <v>-9.6659999999999997E-4</v>
      </c>
    </row>
    <row r="64" spans="4:12" x14ac:dyDescent="0.25">
      <c r="D64" s="3">
        <v>0</v>
      </c>
      <c r="E64" s="3">
        <v>0</v>
      </c>
      <c r="I64" s="1">
        <v>1</v>
      </c>
      <c r="J64" s="1">
        <v>1E-3</v>
      </c>
      <c r="K64" s="1">
        <v>1</v>
      </c>
      <c r="L64" s="1">
        <v>-8.9999999999999998E-4</v>
      </c>
    </row>
    <row r="65" spans="4:5" x14ac:dyDescent="0.25">
      <c r="D65" s="3">
        <v>5.0000000000000001E-4</v>
      </c>
      <c r="E65" s="3">
        <v>-4.6699999999999997E-3</v>
      </c>
    </row>
    <row r="66" spans="4:5" x14ac:dyDescent="0.25">
      <c r="D66" s="3">
        <v>1E-3</v>
      </c>
      <c r="E66" s="3">
        <v>-5.9417999999999997E-3</v>
      </c>
    </row>
    <row r="67" spans="4:5" x14ac:dyDescent="0.25">
      <c r="D67" s="3">
        <v>2E-3</v>
      </c>
      <c r="E67" s="3">
        <v>-7.8113000000000002E-3</v>
      </c>
    </row>
    <row r="68" spans="4:5" x14ac:dyDescent="0.25">
      <c r="D68" s="3">
        <v>4.0000000000000001E-3</v>
      </c>
      <c r="E68" s="3">
        <v>-1.05126E-2</v>
      </c>
    </row>
    <row r="69" spans="4:5" x14ac:dyDescent="0.25">
      <c r="D69" s="3">
        <v>8.0000000000000002E-3</v>
      </c>
      <c r="E69" s="3">
        <v>-1.4286200000000001E-2</v>
      </c>
    </row>
    <row r="70" spans="4:5" x14ac:dyDescent="0.25">
      <c r="D70" s="3">
        <v>1.2E-2</v>
      </c>
      <c r="E70" s="3">
        <v>-1.69733E-2</v>
      </c>
    </row>
    <row r="71" spans="4:5" x14ac:dyDescent="0.25">
      <c r="D71" s="3">
        <v>0.02</v>
      </c>
      <c r="E71" s="3">
        <v>-2.02723E-2</v>
      </c>
    </row>
    <row r="72" spans="4:5" x14ac:dyDescent="0.25">
      <c r="D72" s="3">
        <v>0.03</v>
      </c>
      <c r="E72" s="3">
        <v>-2.26056E-2</v>
      </c>
    </row>
    <row r="73" spans="4:5" x14ac:dyDescent="0.25">
      <c r="D73" s="3">
        <v>0.04</v>
      </c>
      <c r="E73" s="3">
        <v>-2.4521100000000001E-2</v>
      </c>
    </row>
    <row r="74" spans="4:5" x14ac:dyDescent="0.25">
      <c r="D74" s="3">
        <v>0.05</v>
      </c>
      <c r="E74" s="3">
        <v>-2.6045200000000001E-2</v>
      </c>
    </row>
    <row r="75" spans="4:5" x14ac:dyDescent="0.25">
      <c r="D75" s="3">
        <v>0.06</v>
      </c>
      <c r="E75" s="3">
        <v>-2.7127700000000001E-2</v>
      </c>
    </row>
    <row r="76" spans="4:5" x14ac:dyDescent="0.25">
      <c r="D76" s="3">
        <v>0.08</v>
      </c>
      <c r="E76" s="3">
        <v>-2.8459499999999999E-2</v>
      </c>
    </row>
    <row r="77" spans="4:5" x14ac:dyDescent="0.25">
      <c r="D77" s="3">
        <v>0.1</v>
      </c>
      <c r="E77" s="3">
        <v>-2.9378600000000001E-2</v>
      </c>
    </row>
    <row r="78" spans="4:5" x14ac:dyDescent="0.25">
      <c r="D78" s="3">
        <v>0.12</v>
      </c>
      <c r="E78" s="3">
        <v>-2.9963299999999998E-2</v>
      </c>
    </row>
    <row r="79" spans="4:5" x14ac:dyDescent="0.25">
      <c r="D79" s="3">
        <v>0.14000000000000001</v>
      </c>
      <c r="E79" s="3">
        <v>-3.0240400000000001E-2</v>
      </c>
    </row>
    <row r="80" spans="4:5" x14ac:dyDescent="0.25">
      <c r="D80" s="3">
        <v>0.16</v>
      </c>
      <c r="E80" s="3">
        <v>-3.02546E-2</v>
      </c>
    </row>
    <row r="81" spans="4:5" x14ac:dyDescent="0.25">
      <c r="D81" s="3">
        <v>0.18</v>
      </c>
      <c r="E81" s="3">
        <v>-3.0048999999999999E-2</v>
      </c>
    </row>
    <row r="82" spans="4:5" x14ac:dyDescent="0.25">
      <c r="D82" s="3">
        <v>0.2</v>
      </c>
      <c r="E82" s="3">
        <v>-2.96656E-2</v>
      </c>
    </row>
    <row r="83" spans="4:5" x14ac:dyDescent="0.25">
      <c r="D83" s="3">
        <v>0.22</v>
      </c>
      <c r="E83" s="3">
        <v>-2.91445E-2</v>
      </c>
    </row>
    <row r="84" spans="4:5" x14ac:dyDescent="0.25">
      <c r="D84" s="3">
        <v>0.24</v>
      </c>
      <c r="E84" s="3">
        <v>-2.8518100000000001E-2</v>
      </c>
    </row>
    <row r="85" spans="4:5" x14ac:dyDescent="0.25">
      <c r="D85" s="3">
        <v>0.26</v>
      </c>
      <c r="E85" s="3">
        <v>-2.7816400000000002E-2</v>
      </c>
    </row>
    <row r="86" spans="4:5" x14ac:dyDescent="0.25">
      <c r="D86" s="3">
        <v>0.28000000000000003</v>
      </c>
      <c r="E86" s="3">
        <v>-2.7069599999999999E-2</v>
      </c>
    </row>
    <row r="87" spans="4:5" x14ac:dyDescent="0.25">
      <c r="D87" s="3">
        <v>0.3</v>
      </c>
      <c r="E87" s="3">
        <v>-2.6307899999999999E-2</v>
      </c>
    </row>
    <row r="88" spans="4:5" x14ac:dyDescent="0.25">
      <c r="D88" s="3">
        <v>0.32</v>
      </c>
      <c r="E88" s="3">
        <v>-2.5556499999999999E-2</v>
      </c>
    </row>
    <row r="89" spans="4:5" x14ac:dyDescent="0.25">
      <c r="D89" s="3">
        <v>0.34</v>
      </c>
      <c r="E89" s="3">
        <v>-2.4817599999999999E-2</v>
      </c>
    </row>
    <row r="90" spans="4:5" x14ac:dyDescent="0.25">
      <c r="D90" s="3">
        <v>0.36</v>
      </c>
      <c r="E90" s="3">
        <v>-2.4087000000000001E-2</v>
      </c>
    </row>
    <row r="91" spans="4:5" x14ac:dyDescent="0.25">
      <c r="D91" s="3">
        <v>0.38</v>
      </c>
      <c r="E91" s="3">
        <v>-2.3360599999999999E-2</v>
      </c>
    </row>
    <row r="92" spans="4:5" x14ac:dyDescent="0.25">
      <c r="D92" s="3">
        <v>0.4</v>
      </c>
      <c r="E92" s="3">
        <v>-2.2634100000000001E-2</v>
      </c>
    </row>
    <row r="93" spans="4:5" x14ac:dyDescent="0.25">
      <c r="D93" s="3">
        <v>0.42</v>
      </c>
      <c r="E93" s="3">
        <v>-2.1904199999999999E-2</v>
      </c>
    </row>
    <row r="94" spans="4:5" x14ac:dyDescent="0.25">
      <c r="D94" s="3">
        <v>0.44</v>
      </c>
      <c r="E94" s="3">
        <v>-2.11708E-2</v>
      </c>
    </row>
    <row r="95" spans="4:5" x14ac:dyDescent="0.25">
      <c r="D95" s="3">
        <v>0.46</v>
      </c>
      <c r="E95" s="3">
        <v>-2.04353E-2</v>
      </c>
    </row>
    <row r="96" spans="4:5" x14ac:dyDescent="0.25">
      <c r="D96" s="3">
        <v>0.48</v>
      </c>
      <c r="E96" s="3">
        <v>-1.96986E-2</v>
      </c>
    </row>
    <row r="97" spans="4:5" x14ac:dyDescent="0.25">
      <c r="D97" s="3">
        <v>0.5</v>
      </c>
      <c r="E97" s="3">
        <v>-1.89619E-2</v>
      </c>
    </row>
    <row r="98" spans="4:5" x14ac:dyDescent="0.25">
      <c r="D98" s="3">
        <v>0.52</v>
      </c>
      <c r="E98" s="3">
        <v>-1.8226200000000001E-2</v>
      </c>
    </row>
    <row r="99" spans="4:5" x14ac:dyDescent="0.25">
      <c r="D99" s="3">
        <v>0.54</v>
      </c>
      <c r="E99" s="3">
        <v>-1.7491400000000001E-2</v>
      </c>
    </row>
    <row r="100" spans="4:5" x14ac:dyDescent="0.25">
      <c r="D100" s="3">
        <v>0.56000000000000005</v>
      </c>
      <c r="E100" s="3">
        <v>-1.67572E-2</v>
      </c>
    </row>
    <row r="101" spans="4:5" x14ac:dyDescent="0.25">
      <c r="D101" s="3">
        <v>0.57999999999999996</v>
      </c>
      <c r="E101" s="3">
        <v>-1.6023200000000001E-2</v>
      </c>
    </row>
    <row r="102" spans="4:5" x14ac:dyDescent="0.25">
      <c r="D102" s="3">
        <v>0.6</v>
      </c>
      <c r="E102" s="3">
        <v>-1.52893E-2</v>
      </c>
    </row>
    <row r="103" spans="4:5" x14ac:dyDescent="0.25">
      <c r="D103" s="3">
        <v>0.62</v>
      </c>
      <c r="E103" s="3">
        <v>-1.45551E-2</v>
      </c>
    </row>
    <row r="104" spans="4:5" x14ac:dyDescent="0.25">
      <c r="D104" s="3">
        <v>0.64</v>
      </c>
      <c r="E104" s="3">
        <v>-1.38207E-2</v>
      </c>
    </row>
    <row r="105" spans="4:5" x14ac:dyDescent="0.25">
      <c r="D105" s="3">
        <v>0.66</v>
      </c>
      <c r="E105" s="3">
        <v>-1.3086199999999999E-2</v>
      </c>
    </row>
    <row r="106" spans="4:5" x14ac:dyDescent="0.25">
      <c r="D106" s="3">
        <v>0.68</v>
      </c>
      <c r="E106" s="3">
        <v>-1.23515E-2</v>
      </c>
    </row>
    <row r="107" spans="4:5" x14ac:dyDescent="0.25">
      <c r="D107" s="3">
        <v>0.7</v>
      </c>
      <c r="E107" s="3">
        <v>-1.1616899999999999E-2</v>
      </c>
    </row>
    <row r="108" spans="4:5" x14ac:dyDescent="0.25">
      <c r="D108" s="3">
        <v>0.72</v>
      </c>
      <c r="E108" s="3">
        <v>-1.0882299999999999E-2</v>
      </c>
    </row>
    <row r="109" spans="4:5" x14ac:dyDescent="0.25">
      <c r="D109" s="3">
        <v>0.74</v>
      </c>
      <c r="E109" s="3">
        <v>-1.01478E-2</v>
      </c>
    </row>
    <row r="110" spans="4:5" x14ac:dyDescent="0.25">
      <c r="D110" s="3">
        <v>0.76</v>
      </c>
      <c r="E110" s="3">
        <v>-9.4132999999999994E-3</v>
      </c>
    </row>
    <row r="111" spans="4:5" x14ac:dyDescent="0.25">
      <c r="D111" s="3">
        <v>0.78</v>
      </c>
      <c r="E111" s="3">
        <v>-8.6788000000000004E-3</v>
      </c>
    </row>
    <row r="112" spans="4:5" x14ac:dyDescent="0.25">
      <c r="D112" s="3">
        <v>0.8</v>
      </c>
      <c r="E112" s="3">
        <v>-7.9442999999999996E-3</v>
      </c>
    </row>
    <row r="113" spans="4:5" x14ac:dyDescent="0.25">
      <c r="D113" s="3">
        <v>0.82</v>
      </c>
      <c r="E113" s="3">
        <v>-7.2097999999999997E-3</v>
      </c>
    </row>
    <row r="114" spans="4:5" x14ac:dyDescent="0.25">
      <c r="D114" s="3">
        <v>0.84</v>
      </c>
      <c r="E114" s="3">
        <v>-6.4752999999999998E-3</v>
      </c>
    </row>
    <row r="115" spans="4:5" x14ac:dyDescent="0.25">
      <c r="D115" s="3">
        <v>0.86</v>
      </c>
      <c r="E115" s="3">
        <v>-5.7407999999999999E-3</v>
      </c>
    </row>
    <row r="116" spans="4:5" x14ac:dyDescent="0.25">
      <c r="D116" s="3">
        <v>0.88</v>
      </c>
      <c r="E116" s="3">
        <v>-5.0063E-3</v>
      </c>
    </row>
    <row r="117" spans="4:5" x14ac:dyDescent="0.25">
      <c r="D117" s="3">
        <v>0.9</v>
      </c>
      <c r="E117" s="3">
        <v>-4.2718000000000001E-3</v>
      </c>
    </row>
    <row r="118" spans="4:5" x14ac:dyDescent="0.25">
      <c r="D118" s="3">
        <v>0.92</v>
      </c>
      <c r="E118" s="3">
        <v>-3.5373000000000002E-3</v>
      </c>
    </row>
    <row r="119" spans="4:5" x14ac:dyDescent="0.25">
      <c r="D119" s="3">
        <v>0.94</v>
      </c>
      <c r="E119" s="3">
        <v>-2.8027999999999998E-3</v>
      </c>
    </row>
    <row r="120" spans="4:5" x14ac:dyDescent="0.25">
      <c r="D120" s="3">
        <v>0.96</v>
      </c>
      <c r="E120" s="3">
        <v>-2.0682999999999999E-3</v>
      </c>
    </row>
    <row r="121" spans="4:5" x14ac:dyDescent="0.25">
      <c r="D121" s="3">
        <v>0.97</v>
      </c>
      <c r="E121" s="3">
        <v>-1.7011000000000001E-3</v>
      </c>
    </row>
    <row r="122" spans="4:5" x14ac:dyDescent="0.25">
      <c r="D122" s="3">
        <v>0.98</v>
      </c>
      <c r="E122" s="3">
        <v>-1.3339000000000001E-3</v>
      </c>
    </row>
    <row r="123" spans="4:5" x14ac:dyDescent="0.25">
      <c r="D123" s="3">
        <v>0.99</v>
      </c>
      <c r="E123" s="3">
        <v>-9.6659999999999997E-4</v>
      </c>
    </row>
    <row r="124" spans="4:5" x14ac:dyDescent="0.25">
      <c r="D124" s="3">
        <v>1</v>
      </c>
      <c r="E124" s="3">
        <v>-8.9999999999999998E-4</v>
      </c>
    </row>
  </sheetData>
  <sortState xmlns:xlrd2="http://schemas.microsoft.com/office/spreadsheetml/2017/richdata2" ref="S26:T86">
    <sortCondition ref="S26:S86"/>
  </sortState>
  <phoneticPr fontId="9"/>
  <pageMargins left="0.7" right="0.7" top="0.75" bottom="0.75" header="0.3" footer="0.3"/>
  <pageSetup paperSize="9" orientation="portrait" horizontalDpi="4294967294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使用上の注意事項</vt:lpstr>
      <vt:lpstr>Python読み込み用データ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ko-ko</dc:creator>
  <cp:lastModifiedBy>中村 亮介</cp:lastModifiedBy>
  <dcterms:created xsi:type="dcterms:W3CDTF">2015-06-05T18:19:34Z</dcterms:created>
  <dcterms:modified xsi:type="dcterms:W3CDTF">2023-08-18T03:36:18Z</dcterms:modified>
</cp:coreProperties>
</file>